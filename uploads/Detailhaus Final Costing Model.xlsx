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Package Summary" sheetId="2" state="visible" r:id="rId4"/>
    <sheet name="À La Carte (By Problem)" sheetId="3" state="visible" r:id="rId5"/>
    <sheet name="Equipment" sheetId="4" state="visible" r:id="rId6"/>
    <sheet name="Product Costs" sheetId="5" state="visible" r:id="rId7"/>
    <sheet name="Package Costing"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<sst xmlns="http://schemas.openxmlformats.org/spreadsheetml/2006/main" count="1169" uniqueCount="497">
  <si>
    <t xml:space="preserve">DETAILHAUS — COSTING MODEL ASSUMPTIONS (EM20260613)</t>
  </si>
  <si>
    <t xml:space="preserve">Global Inputs</t>
  </si>
  <si>
    <t xml:space="preserve">Item</t>
  </si>
  <si>
    <t xml:space="preserve">Value</t>
  </si>
  <si>
    <t xml:space="preserve">Unit</t>
  </si>
  <si>
    <t xml:space="preserve">Notes</t>
  </si>
  <si>
    <t xml:space="preserve">USD to KES exchange rate</t>
  </si>
  <si>
    <t xml:space="preserve">KES</t>
  </si>
  <si>
    <t xml:space="preserve">Set per current/expected rate</t>
  </si>
  <si>
    <t xml:space="preserve">Shipping rate (per CBM)</t>
  </si>
  <si>
    <t xml:space="preserve">Midpoint of 60,000–63,000 KES/CBM quoted</t>
  </si>
  <si>
    <t xml:space="preserve">Estimated shipment volume (CBM)</t>
  </si>
  <si>
    <t xml:space="preserve">CBM</t>
  </si>
  <si>
    <t xml:space="preserve">Estimate — see Shipping tab for basis</t>
  </si>
  <si>
    <t xml:space="preserve">Customs/duty + IDF + clearing agent (% of CIF)</t>
  </si>
  <si>
    <t xml:space="preserve">%</t>
  </si>
  <si>
    <t xml:space="preserve">Typical KRA duty+VAT+IDF for car care goods — VERIFY with clearing agent</t>
  </si>
  <si>
    <t xml:space="preserve">Labour add-on (% of product cost per job)</t>
  </si>
  <si>
    <t xml:space="preserve">Midpoint of 10-20% range requested</t>
  </si>
  <si>
    <t xml:space="preserve">Target markup (on cost incl. labour)</t>
  </si>
  <si>
    <t xml:space="preserve">Placeholder — adjust as needed</t>
  </si>
  <si>
    <t xml:space="preserve">Order Summary (from SRB invoices EM20260613)</t>
  </si>
  <si>
    <t xml:space="preserve">USD</t>
  </si>
  <si>
    <t xml:space="preserve">KES (landed est.)</t>
  </si>
  <si>
    <t xml:space="preserve">Invoice — Chemicals (sub-total)</t>
  </si>
  <si>
    <t xml:space="preserve">Invoice — Tools &amp; Equipment (sub-total)</t>
  </si>
  <si>
    <t xml:space="preserve">Goods sub-total (EXW Guangzhou)</t>
  </si>
  <si>
    <t xml:space="preserve">Shipping cost (CBM × rate)</t>
  </si>
  <si>
    <t xml:space="preserve">CIF value (goods + shipping)</t>
  </si>
  <si>
    <t xml:space="preserve">Estimated duty/VAT/clearing</t>
  </si>
  <si>
    <t xml:space="preserve">TOTAL LANDED COST</t>
  </si>
  <si>
    <t xml:space="preserve">Landed cost uplift factor (multiplier on EXW price)</t>
  </si>
  <si>
    <t xml:space="preserve">Note: apply the uplift factor to each item's EXW unit price to get its landed unit cost in Nairobi (covers freight, duty, VAT, clearing). Adjust CBM and duty % once you have actuals from the freight forwarder.</t>
  </si>
  <si>
    <t xml:space="preserve">DETAILHAUS — FINAL SERVICE &amp; PRICING SUMMARY (14 Jun 2026)</t>
  </si>
  <si>
    <t xml:space="preserve">Final retail prices set via competitor-benchmarked repricing (see Master Pricing &amp; Costing PDF for positioning rationale). Cost/Price/Profit/Margin columns for Core Tiers, Add-ons and Membership link live to the Package Costing tab. PPF and Window Tint costs are landed per-car costs from the dedicated PPF/Tint costing workpapers (Product Costs items incl. S33, C36, S-681, T-651/652, S12, T-77).</t>
  </si>
  <si>
    <t xml:space="preserve">CORE DETAILING TIERS</t>
  </si>
  <si>
    <t xml:space="preserve">Package / Film</t>
  </si>
  <si>
    <t xml:space="preserve">Cost
Sedan</t>
  </si>
  <si>
    <t xml:space="preserve">Final Price
Sedan</t>
  </si>
  <si>
    <t xml:space="preserve">Profit
Sedan</t>
  </si>
  <si>
    <t xml:space="preserve">Margin
Sedan</t>
  </si>
  <si>
    <t xml:space="preserve">Cost
SUV</t>
  </si>
  <si>
    <t xml:space="preserve">Final Price
SUV</t>
  </si>
  <si>
    <t xml:space="preserve">Profit
SUV</t>
  </si>
  <si>
    <t xml:space="preserve">Margin
SUV</t>
  </si>
  <si>
    <t xml:space="preserve">Bronze — Express Wash &amp; Shine</t>
  </si>
  <si>
    <t xml:space="preserve">Silver — Household Detail</t>
  </si>
  <si>
    <t xml:space="preserve">Gold — Complete Detail (100%)</t>
  </si>
  <si>
    <t xml:space="preserve">Platinum 10H — 2-3yr Coating</t>
  </si>
  <si>
    <t xml:space="preserve">Platinum 20H — Flagship Coating</t>
  </si>
  <si>
    <t xml:space="preserve">ADD-ON SERVICES</t>
  </si>
  <si>
    <t xml:space="preserve">Glass Coating (standalone)</t>
  </si>
  <si>
    <t xml:space="preserve">Paint Correction (3-Step Polish)</t>
  </si>
  <si>
    <t xml:space="preserve">Ceramic Coating 10H (Standalone)</t>
  </si>
  <si>
    <t xml:space="preserve">Ceramic Coating 20H (Standalone Flagship)</t>
  </si>
  <si>
    <t xml:space="preserve">New Car Detailing</t>
  </si>
  <si>
    <t xml:space="preserve">A/C Deep Clean &amp; Decontamination</t>
  </si>
  <si>
    <t xml:space="preserve">MEMBERSHIP</t>
  </si>
  <si>
    <t xml:space="preserve">Maintenance Club (per month)</t>
  </si>
  <si>
    <t xml:space="preserve">PPF Maintenance Club (per month)</t>
  </si>
  <si>
    <t xml:space="preserve">PAINT PROTECTION FILM (PPF)</t>
  </si>
  <si>
    <t xml:space="preserve">Partial Front — Xpel Ultimate Plus</t>
  </si>
  <si>
    <t xml:space="preserve">Partial Front — 3M Scotchgard (Glossy)</t>
  </si>
  <si>
    <t xml:space="preserve">Partial Front — 3M Scotchgard (Matte)</t>
  </si>
  <si>
    <t xml:space="preserve">Full Front — Xpel Ultimate Plus</t>
  </si>
  <si>
    <t xml:space="preserve">Full Front — 3M Scotchgard (Glossy)</t>
  </si>
  <si>
    <t xml:space="preserve">Full Front — 3M Scotchgard (Matte)</t>
  </si>
  <si>
    <t xml:space="preserve">Full Body — Xpel Ultimate Plus</t>
  </si>
  <si>
    <t xml:space="preserve">Full Body — 3M Scotchgard (Glossy)</t>
  </si>
  <si>
    <t xml:space="preserve">Full Body — 3M Scotchgard (Matte)</t>
  </si>
  <si>
    <t xml:space="preserve">WINDOW TINT</t>
  </si>
  <si>
    <t xml:space="preserve">Full Car — Chinese (Value)</t>
  </si>
  <si>
    <t xml:space="preserve">Full Car — Llumar CTX (Mid)</t>
  </si>
  <si>
    <t xml:space="preserve">Full Car — IRX / 3M Crystalline (Top)</t>
  </si>
  <si>
    <t xml:space="preserve">Sides + Rear — Chinese (Value)</t>
  </si>
  <si>
    <t xml:space="preserve">Sides + Rear — Llumar CTX (Mid)</t>
  </si>
  <si>
    <t xml:space="preserve">Sides + Rear — IRX / 3M Crystalline (Top)</t>
  </si>
  <si>
    <t xml:space="preserve">Windscreen — Chinese (Value)</t>
  </si>
  <si>
    <t xml:space="preserve">Windscreen — Llumar CTX (Mid)</t>
  </si>
  <si>
    <t xml:space="preserve">Windscreen — IRX / 3M Crystalline (Top)</t>
  </si>
  <si>
    <t xml:space="preserve">CAR CLUBS &amp; COMMUNITIES — PARTNER DISCOUNT</t>
  </si>
  <si>
    <t xml:space="preserve">Members of partnered car clubs/communities get a discount off retail, tiered by commitment: a small discount for one-off visits, a larger discount once they sign up to the Maintenance Club. Discount rates are inputs (blue) — adjust per partnership agreement.</t>
  </si>
  <si>
    <t xml:space="preserve">One-off Visit discount</t>
  </si>
  <si>
    <t xml:space="preserve">Maintenance Club Sign-up discount</t>
  </si>
  <si>
    <t xml:space="preserve">Package</t>
  </si>
  <si>
    <t xml:space="preserve">Retail
Sedan</t>
  </si>
  <si>
    <t xml:space="preserve">Retail
SUV</t>
  </si>
  <si>
    <t xml:space="preserve">One-off –8%
Sedan</t>
  </si>
  <si>
    <t xml:space="preserve">One-off –8%
SUV</t>
  </si>
  <si>
    <t xml:space="preserve">Club Sign-up –18%
Sedan</t>
  </si>
  <si>
    <t xml:space="preserve">Club Sign-up –18%
SUV</t>
  </si>
  <si>
    <t xml:space="preserve">A/C Deep Clean &amp; Decontamination (no discount — full retail)</t>
  </si>
  <si>
    <t xml:space="preserve">STAFF &amp; INFLUENCER RATE CARD (Internal · Confidential)</t>
  </si>
  <si>
    <t xml:space="preserve">Preferential pricing for Detailhaus staff and influencer/content partners, tiered by commitment (mirrors the Car Club structure above at steeper rates). Staff Rate covers team members and one-off influencer bookings; Influencer Partner Rate covers ongoing content partnerships and Maintenance Club sign-ups. Not for distribution to customers.</t>
  </si>
  <si>
    <t xml:space="preserve">Staff Rate discount</t>
  </si>
  <si>
    <t xml:space="preserve">Influencer Partner Rate discount</t>
  </si>
  <si>
    <t xml:space="preserve">Staff –20%
Sedan</t>
  </si>
  <si>
    <t xml:space="preserve">Staff –20%
SUV</t>
  </si>
  <si>
    <t xml:space="preserve">Influencer Partner –35%
Sedan</t>
  </si>
  <si>
    <t xml:space="preserve">Influencer Partner –35%
SUV</t>
  </si>
  <si>
    <t xml:space="preserve">DETAILHAUS — À LA CARTE (BY PROBLEM) MENU</t>
  </si>
  <si>
    <t xml:space="preserve">Individual fixes customers can pick in the site's “By problem” mode. Prices [Sedan, SUV] match the live site and are benchmarked to the package rates. Fixes that map 1:1 to a costed package/add-on carry that item's landed cost, profit and margin (black formulas). Partial-scope fixes are sub-components of a larger package and are not separately costed — their retail is benchmarked to the package rate.</t>
  </si>
  <si>
    <t xml:space="preserve">Fix (customer-facing)</t>
  </si>
  <si>
    <t xml:space="preserve">Cost Sedan</t>
  </si>
  <si>
    <t xml:space="preserve">Final Price Sedan</t>
  </si>
  <si>
    <t xml:space="preserve">Profit Sedan</t>
  </si>
  <si>
    <t xml:space="preserve">Margin Sedan</t>
  </si>
  <si>
    <t xml:space="preserve">Cost SUV</t>
  </si>
  <si>
    <t xml:space="preserve">Final Price SUV</t>
  </si>
  <si>
    <t xml:space="preserve">Profit SUV</t>
  </si>
  <si>
    <t xml:space="preserve">Margin SUV</t>
  </si>
  <si>
    <t xml:space="preserve">Basis / maps to</t>
  </si>
  <si>
    <t xml:space="preserve">EXTERIOR</t>
  </si>
  <si>
    <t xml:space="preserve">Exterior wash &amp; shine</t>
  </si>
  <si>
    <t xml:space="preserve">Maps to bronze — Express Wash &amp; Shine</t>
  </si>
  <si>
    <t xml:space="preserve">Heavy decontamination wash</t>
  </si>
  <si>
    <t xml:space="preserve">Between Bronze &amp; Silver — benchmarked sub-scope</t>
  </si>
  <si>
    <t xml:space="preserve">3-step paint correction</t>
  </si>
  <si>
    <t xml:space="preserve">Maps to paint correction (3-step polish) add-on</t>
  </si>
  <si>
    <t xml:space="preserve">Clay-bar decontamination</t>
  </si>
  <si>
    <t xml:space="preserve">Sub-scope of Gold / Paint Correction — benchmarked</t>
  </si>
  <si>
    <t xml:space="preserve">Trim restoration &amp; coating</t>
  </si>
  <si>
    <t xml:space="preserve">Sub-scope of Gold — benchmarked</t>
  </si>
  <si>
    <t xml:space="preserve">Headlight restoration</t>
  </si>
  <si>
    <t xml:space="preserve">Sub-scope of Silver / Gold — benchmarked</t>
  </si>
  <si>
    <t xml:space="preserve">Wheel &amp; arch deep clean</t>
  </si>
  <si>
    <t xml:space="preserve">Sub-scope of Bronze — benchmarked</t>
  </si>
  <si>
    <t xml:space="preserve">Glass polish &amp; coating</t>
  </si>
  <si>
    <t xml:space="preserve">Maps to glass coating (standalone) add-on</t>
  </si>
  <si>
    <t xml:space="preserve">INTERIOR</t>
  </si>
  <si>
    <t xml:space="preserve">Interior vacuum &amp; wipe-down</t>
  </si>
  <si>
    <t xml:space="preserve">Shampoo &amp; extraction</t>
  </si>
  <si>
    <t xml:space="preserve">Sub-scope of Silver — benchmarked</t>
  </si>
  <si>
    <t xml:space="preserve">Interior dressing &amp; restoration</t>
  </si>
  <si>
    <t xml:space="preserve">Sub-scope of Bronze / Silver — benchmarked</t>
  </si>
  <si>
    <t xml:space="preserve">Leather deep clean &amp; condition</t>
  </si>
  <si>
    <t xml:space="preserve">A/C deep clean &amp; deodorise</t>
  </si>
  <si>
    <t xml:space="preserve">Maps to a/c deep clean &amp; decontamination add-on</t>
  </si>
  <si>
    <t xml:space="preserve">Pet-hair removal</t>
  </si>
  <si>
    <t xml:space="preserve">Interior sub-scope — benchmarked</t>
  </si>
  <si>
    <t xml:space="preserve">EXTRAS</t>
  </si>
  <si>
    <t xml:space="preserve">Engine bay clean &amp; dress</t>
  </si>
  <si>
    <t xml:space="preserve">New Car Detailing (salt decon)</t>
  </si>
  <si>
    <t xml:space="preserve">Maps to new car detailing</t>
  </si>
  <si>
    <t xml:space="preserve">EQUIPMENT &amp; DURABLE ASSETS (one-time capital cost — NOT consumed per job, EM20260613)</t>
  </si>
  <si>
    <t xml:space="preserve">These items are one-time purchases (capital investment), not per-job consumables. They are NOT included in any package cost above. Landed cost = EXW x uplift factor (from Assumptions tab).</t>
  </si>
  <si>
    <t xml:space="preserve">Model</t>
  </si>
  <si>
    <t xml:space="preserve">Pack/Unit</t>
  </si>
  <si>
    <t xml:space="preserve">EXW Unit Price (USD)</t>
  </si>
  <si>
    <t xml:space="preserve">Landed Cost (USD)</t>
  </si>
  <si>
    <t xml:space="preserve">Landed Cost (KES)</t>
  </si>
  <si>
    <t xml:space="preserve">SG-100</t>
  </si>
  <si>
    <t xml:space="preserve">14 Hexagon Studio Lights — Workshop lighting</t>
  </si>
  <si>
    <t xml:space="preserve">1 KIT</t>
  </si>
  <si>
    <t xml:space="preserve">T-120</t>
  </si>
  <si>
    <t xml:space="preserve">Tornado Engine Long Tube Cleaning Gun — Engine bay cleaning gun</t>
  </si>
  <si>
    <t xml:space="preserve">1 unit</t>
  </si>
  <si>
    <t xml:space="preserve">T-724</t>
  </si>
  <si>
    <t xml:space="preserve">DA Electrical Polisher 5 Inch — Dual-action polisher</t>
  </si>
  <si>
    <t xml:space="preserve">T-624</t>
  </si>
  <si>
    <t xml:space="preserve">Soft Wool Car Wash Gloves 1 Pair — Wash mitt</t>
  </si>
  <si>
    <t xml:space="preserve">1 pair</t>
  </si>
  <si>
    <t xml:space="preserve">T-810</t>
  </si>
  <si>
    <t xml:space="preserve">Chenille Car Wash Mitt Gray — Wash mitt</t>
  </si>
  <si>
    <t xml:space="preserve">T-618</t>
  </si>
  <si>
    <t xml:space="preserve">Car Wash Sponge — Wash sponge</t>
  </si>
  <si>
    <t xml:space="preserve">T-629</t>
  </si>
  <si>
    <t xml:space="preserve">Yellow Tire Brush — Tire brush</t>
  </si>
  <si>
    <t xml:space="preserve">T-752</t>
  </si>
  <si>
    <t xml:space="preserve">SRB Red Wheel Cleaning Brush Large — Wheel brush</t>
  </si>
  <si>
    <t xml:space="preserve">T-628</t>
  </si>
  <si>
    <t xml:space="preserve">Circle Wheel Hub Brush — Wheel hub brush</t>
  </si>
  <si>
    <t xml:space="preserve">T-316</t>
  </si>
  <si>
    <t xml:space="preserve">Car Wash Foam Lance/Cannon (1L) — Foam cannon</t>
  </si>
  <si>
    <t xml:space="preserve">T-10</t>
  </si>
  <si>
    <t xml:space="preserve">Hand Pump Foam Sprayer White (2L) — Hand pump foam sprayer</t>
  </si>
  <si>
    <t xml:space="preserve">SG-326</t>
  </si>
  <si>
    <t xml:space="preserve">Handheld Inspection Light — Inspection light</t>
  </si>
  <si>
    <t xml:space="preserve">SG-316</t>
  </si>
  <si>
    <t xml:space="preserve">Headlamp Inspection Light — Headlamp inspection light</t>
  </si>
  <si>
    <t xml:space="preserve">T-665</t>
  </si>
  <si>
    <t xml:space="preserve">Detailing Tools Hanging Board — Workshop storage</t>
  </si>
  <si>
    <t xml:space="preserve">T-323</t>
  </si>
  <si>
    <t xml:space="preserve">Spray Bottle Rack (metal) — Workshop storage</t>
  </si>
  <si>
    <t xml:space="preserve">T-322</t>
  </si>
  <si>
    <t xml:space="preserve">Metal Polisher Rack — Workshop storage</t>
  </si>
  <si>
    <t xml:space="preserve">T-826</t>
  </si>
  <si>
    <t xml:space="preserve">Detailing Brush Holder — Workshop storage</t>
  </si>
  <si>
    <t xml:space="preserve">T-625</t>
  </si>
  <si>
    <t xml:space="preserve">Wall-mounted Towel Rack — Workshop storage</t>
  </si>
  <si>
    <t xml:space="preserve">T-719</t>
  </si>
  <si>
    <t xml:space="preserve">Car Beauty Tool Cart — Mobile tool cart</t>
  </si>
  <si>
    <t xml:space="preserve">SG-323</t>
  </si>
  <si>
    <t xml:space="preserve">Wet and Dry Dual-use Car Vacuum Cleaner — Vacuum cleaner</t>
  </si>
  <si>
    <t xml:space="preserve">T-756</t>
  </si>
  <si>
    <t xml:space="preserve">Strong Air Drying Blower — Air dryer/blower</t>
  </si>
  <si>
    <t xml:space="preserve">SG-73</t>
  </si>
  <si>
    <t xml:space="preserve">Car Steam Cleaner Yellow — Steam cleaner</t>
  </si>
  <si>
    <t xml:space="preserve">T-739</t>
  </si>
  <si>
    <t xml:space="preserve">Purple Cordless Mini Polisher Kit — Cordless mini polisher</t>
  </si>
  <si>
    <t xml:space="preserve">MINI-PAD</t>
  </si>
  <si>
    <t xml:space="preserve">Mini Pad Set — Mini polisher pad set</t>
  </si>
  <si>
    <t xml:space="preserve">1 set</t>
  </si>
  <si>
    <t xml:space="preserve">TOTAL EQUIPMENT (one-time)</t>
  </si>
  <si>
    <t xml:space="preserve">LANDED UNIT COSTS — CONSUMABLES (from SRB Invoice EM20260613)</t>
  </si>
  <si>
    <t xml:space="preserve">Landed unit cost = EXW unit price (USD) x uplift factor (Assumptions tab). Pack size shows units per carton/pack/dilution for per-use cost calc. Equipment/durable tools are listed separately on the 'Equipment' tab and are NOT consumed per job.</t>
  </si>
  <si>
    <t xml:space="preserve">Product</t>
  </si>
  <si>
    <t xml:space="preserve">Pack/Unit Size</t>
  </si>
  <si>
    <t xml:space="preserve">EXW Unit Price (USD/PC)</t>
  </si>
  <si>
    <t xml:space="preserve">Landed Unit Cost (USD)</t>
  </si>
  <si>
    <t xml:space="preserve">Landed Unit Cost (KES)</t>
  </si>
  <si>
    <t xml:space="preserve">Est. uses per pack</t>
  </si>
  <si>
    <t xml:space="preserve">Cost per use (USD)</t>
  </si>
  <si>
    <t xml:space="preserve">Cost per use (KES)</t>
  </si>
  <si>
    <t xml:space="preserve">D15</t>
  </si>
  <si>
    <t xml:space="preserve">Touchless Pink Foam Pre Wash (20L, 1:300 hand pump foam) — Foam pre-wash, used in every wash/detail job</t>
  </si>
  <si>
    <t xml:space="preserve">20L</t>
  </si>
  <si>
    <t xml:space="preserve">C55</t>
  </si>
  <si>
    <t xml:space="preserve">SRB Engine Cleaning Agent (20L, diluted 1:3-5, ~300ml mix/job) — Engine bay degreasing, used in Full Detail and above</t>
  </si>
  <si>
    <t xml:space="preserve">R1</t>
  </si>
  <si>
    <t xml:space="preserve">Graphene Pre Wash (20L, 1:15 foam cannon avg) — Premium pre-wash for coating/decon jobs</t>
  </si>
  <si>
    <t xml:space="preserve">R2</t>
  </si>
  <si>
    <t xml:space="preserve">Graphene Car Shampoo (20L, 1:15 foam cannon avg) — Premium shampoo wash</t>
  </si>
  <si>
    <t xml:space="preserve">S32</t>
  </si>
  <si>
    <t xml:space="preserve">High Foam Shampoo (20L, 1:10 foam cannon) — Standard wash shampoo</t>
  </si>
  <si>
    <t xml:space="preserve">S7</t>
  </si>
  <si>
    <t xml:space="preserve">Iron Remover (4L, ~150ml/wheel set sedan) — Decon step, removes brake dust</t>
  </si>
  <si>
    <t xml:space="preserve">4L</t>
  </si>
  <si>
    <t xml:space="preserve">S8</t>
  </si>
  <si>
    <t xml:space="preserve">Tar &amp; Glue Remover (1L, ~20ml/job spot use) — Spot removal of tar/glue/sap</t>
  </si>
  <si>
    <t xml:space="preserve">1L</t>
  </si>
  <si>
    <t xml:space="preserve">W22</t>
  </si>
  <si>
    <t xml:space="preserve">SRB Scratch Wax (250ml, ~10ml/job spot use) — Light scratch touch-up</t>
  </si>
  <si>
    <t xml:space="preserve">250ml</t>
  </si>
  <si>
    <t xml:space="preserve">R6</t>
  </si>
  <si>
    <t xml:space="preserve">Graphene Detail Spray (20L, ~60ml/job) — Quick detailer top-up spray</t>
  </si>
  <si>
    <t xml:space="preserve">S11</t>
  </si>
  <si>
    <t xml:space="preserve">Ceramic Quick Detailer (20L, ~60ml/job) — Quick detailer, ceramic-boosting</t>
  </si>
  <si>
    <t xml:space="preserve">SRB011</t>
  </si>
  <si>
    <t xml:space="preserve">SRB Graphene Coating 10H (1L kit, 1 vehicle) — Graphene 10H coating kit</t>
  </si>
  <si>
    <t xml:space="preserve">1L kit</t>
  </si>
  <si>
    <t xml:space="preserve">R13</t>
  </si>
  <si>
    <t xml:space="preserve">SRB Graphene Coating 20H (1L kit, 1 vehicle) — Graphene 20H flagship coating kit</t>
  </si>
  <si>
    <t xml:space="preserve">P985</t>
  </si>
  <si>
    <t xml:space="preserve">SRB Glass Crystal Coating (1L kit, ~4 jobs) — Glass coating, used with any ceramic coating job</t>
  </si>
  <si>
    <t xml:space="preserve">R4</t>
  </si>
  <si>
    <t xml:space="preserve">Graphene Tire Shine (4L, ~80ml/job) — Tire dressing</t>
  </si>
  <si>
    <t xml:space="preserve">S18</t>
  </si>
  <si>
    <t xml:space="preserve">Tire &amp; Plastic Cleaner (20L, ~100ml/job) — Tire/plastic trim restoration</t>
  </si>
  <si>
    <t xml:space="preserve">C71</t>
  </si>
  <si>
    <t xml:space="preserve">SRB Wheel Hub Cleaner (4L, diluted 1:5, ~300ml mix/job) — Wheel cleaning</t>
  </si>
  <si>
    <t xml:space="preserve">S14</t>
  </si>
  <si>
    <t xml:space="preserve">Overall Interior Clean Foam (20L, ~150ml/job) — Interior deep clean foam</t>
  </si>
  <si>
    <t xml:space="preserve">C65</t>
  </si>
  <si>
    <t xml:space="preserve">Hyper Dressing (20L, diluted 1:2, ~100ml mix/job) — Interior/trim/engine bay dressing</t>
  </si>
  <si>
    <t xml:space="preserve">S15</t>
  </si>
  <si>
    <t xml:space="preserve">Leather Quick Coating (20L, ~50ml/job) — Leather conditioning/coating</t>
  </si>
  <si>
    <t xml:space="preserve">C06</t>
  </si>
  <si>
    <t xml:space="preserve">SRB Dashboard Protection Agent (4L, ~60ml/job) — Dashboard/trim protectant</t>
  </si>
  <si>
    <t xml:space="preserve">S21</t>
  </si>
  <si>
    <t xml:space="preserve">Citrus Heavy Dirt Cleaner (20L, ~150ml/job decon) — Heavy decon cleaner</t>
  </si>
  <si>
    <t xml:space="preserve">S12</t>
  </si>
  <si>
    <t xml:space="preserve">Wrap Detailer (20L, ~150ml/job for PPF/wrap cars) — PPF/wrap care spray</t>
  </si>
  <si>
    <t xml:space="preserve">S33</t>
  </si>
  <si>
    <t xml:space="preserve">Window Film &amp; PPF Adhesive Remover (20L, ~200ml/job) — Adhesive remover for tint/PPF trim work</t>
  </si>
  <si>
    <t xml:space="preserve">C36</t>
  </si>
  <si>
    <t xml:space="preserve">SRB PPF Installation Gel (20L, ~250ml/job) — PPF install lubricant gel</t>
  </si>
  <si>
    <t xml:space="preserve">S-681</t>
  </si>
  <si>
    <t xml:space="preserve">SRB Window Tinting Installation Solution (20L, ~400ml/job) — Window tint install lubricant</t>
  </si>
  <si>
    <t xml:space="preserve">C41</t>
  </si>
  <si>
    <t xml:space="preserve">SRB Degreaser Agent (20L, ~150ml/job pre-coating prep) — Pre-coating degreaser</t>
  </si>
  <si>
    <t xml:space="preserve">S31</t>
  </si>
  <si>
    <t xml:space="preserve">Ceramic Headlight Coating (1L, ~10ml/job) — Headlight UV coating</t>
  </si>
  <si>
    <t xml:space="preserve">S35</t>
  </si>
  <si>
    <t xml:space="preserve">Headlight Restorer (4L, ~80ml/job) — Headlight restoration cream</t>
  </si>
  <si>
    <t xml:space="preserve">S36</t>
  </si>
  <si>
    <t xml:space="preserve">Fabric Coating (4L, ~120ml/job) — Fabric/leather waterproofing</t>
  </si>
  <si>
    <t xml:space="preserve">A20</t>
  </si>
  <si>
    <t xml:space="preserve">SRB Car SPA Purification Cabin (1 set/job) — Cabin air freshener install</t>
  </si>
  <si>
    <t xml:space="preserve">A58</t>
  </si>
  <si>
    <t xml:space="preserve">SRB A/C Deep Cleaning Set (1 set/job) — Full A/C system deep clean kit</t>
  </si>
  <si>
    <t xml:space="preserve">S9</t>
  </si>
  <si>
    <t xml:space="preserve">Glass Clean Protector (20L, ~80ml/job) — Glass cleaning + protection</t>
  </si>
  <si>
    <t xml:space="preserve">S27</t>
  </si>
  <si>
    <t xml:space="preserve">Plastic Parts Coating (20L, ~80ml/job) — Exterior plastic trim ceramic coating</t>
  </si>
  <si>
    <t xml:space="preserve">W14</t>
  </si>
  <si>
    <t xml:space="preserve">SRB Abrasive Agent - Rough Polish, Step 1 (1L, ~80ml/job) — Heavy cut compound for paint correction</t>
  </si>
  <si>
    <t xml:space="preserve">W21</t>
  </si>
  <si>
    <t xml:space="preserve">SRB Polishing Agent - Medium Polish, Step 2 (1L, ~80ml/job) — Medium cut compound for paint correction</t>
  </si>
  <si>
    <t xml:space="preserve">W38</t>
  </si>
  <si>
    <t xml:space="preserve">SRB Reducing Agent - Fine Polish, Step 3 (1L, ~80ml/job) — Finishing compound for paint correction</t>
  </si>
  <si>
    <t xml:space="preserve">C64</t>
  </si>
  <si>
    <t xml:space="preserve">SRB Magic Mud Companion / Clay Lube (20L, diluted 1:3, ~300ml mix/job) — Clay bar lubricant</t>
  </si>
  <si>
    <t xml:space="preserve">S20</t>
  </si>
  <si>
    <t xml:space="preserve">Seam Cleaner (20L, ~80ml/job) — Panel gap/seam cleaning</t>
  </si>
  <si>
    <t xml:space="preserve">T-812/813/814</t>
  </si>
  <si>
    <t xml:space="preserve">Abrasive Foam Discs P1500/2000/3000 (per disc set) — 3-stage sanding discs for headlight/paint correction</t>
  </si>
  <si>
    <t xml:space="preserve">1 set (3 discs)</t>
  </si>
  <si>
    <t xml:space="preserve">T-6001D/B/C</t>
  </si>
  <si>
    <t xml:space="preserve">DA Foam Pads - cutting/polishing/finishing set (durable, ~30 jobs/set) — 3-pad polishing set</t>
  </si>
  <si>
    <t xml:space="preserve">1 set (3 pads)</t>
  </si>
  <si>
    <t xml:space="preserve">T-D1</t>
  </si>
  <si>
    <t xml:space="preserve">DA Wool Pad (durable, ~20 jobs) — Heavy cutting wool pad</t>
  </si>
  <si>
    <t xml:space="preserve">T-683</t>
  </si>
  <si>
    <t xml:space="preserve">5 Inch Backing Plate Disc Pad (durable, ~40 jobs) — Backing plate for polisher</t>
  </si>
  <si>
    <t xml:space="preserve">T-661</t>
  </si>
  <si>
    <t xml:space="preserve">750ML Spray Bottle (durable, amortise over jobs) — Reusable spray bottle</t>
  </si>
  <si>
    <t xml:space="preserve">T-351</t>
  </si>
  <si>
    <t xml:space="preserve">Single Side Twisted Loop Drying Towel 600GSM (durable) — Drying towel</t>
  </si>
  <si>
    <t xml:space="preserve">T-65</t>
  </si>
  <si>
    <t xml:space="preserve">Microfiber Detailing Towel 40x40 600GSM (durable) — General detailing towel</t>
  </si>
  <si>
    <t xml:space="preserve">T-353</t>
  </si>
  <si>
    <t xml:space="preserve">Waffle Glass Towel 40x40 (durable) — Glass towel</t>
  </si>
  <si>
    <t xml:space="preserve">T-644</t>
  </si>
  <si>
    <t xml:space="preserve">Car Waxing Towel 38x38 (durable) — Waxing towel</t>
  </si>
  <si>
    <t xml:space="preserve">T-94</t>
  </si>
  <si>
    <t xml:space="preserve">Edgeless Ceramic Coating Microfiber 30x30 (durable, coating jobs) — Coating application towel</t>
  </si>
  <si>
    <t xml:space="preserve">T-768</t>
  </si>
  <si>
    <t xml:space="preserve">Oversized Microfiber Towel 60x90 1200gsm (durable) — Large drying/buffing towel</t>
  </si>
  <si>
    <t xml:space="preserve">T-556</t>
  </si>
  <si>
    <t xml:space="preserve">Red Details 5 Brushes Set (durable, ~60 jobs) — Detail brush set</t>
  </si>
  <si>
    <t xml:space="preserve">T-720</t>
  </si>
  <si>
    <t xml:space="preserve">Ultra Soft Detailing 2 Brushes Set (durable, ~60 jobs) — A/C vent detail brushes</t>
  </si>
  <si>
    <t xml:space="preserve">T-733</t>
  </si>
  <si>
    <t xml:space="preserve">Car Detailing 3 Brushes Set (durable, ~60 jobs) — Interior/exterior seam brushes</t>
  </si>
  <si>
    <t xml:space="preserve">T-633</t>
  </si>
  <si>
    <t xml:space="preserve">Wooden Horse Hair Brush (durable, ~60 jobs) — Leather seat brush</t>
  </si>
  <si>
    <t xml:space="preserve">T-627</t>
  </si>
  <si>
    <t xml:space="preserve">Carpet Brush (durable, ~60 jobs) — Carpet scrub brush</t>
  </si>
  <si>
    <t xml:space="preserve">T-632</t>
  </si>
  <si>
    <t xml:space="preserve">Double Headed Gap Brush (durable, ~60 jobs) — Panel gap brush</t>
  </si>
  <si>
    <t xml:space="preserve">S-525</t>
  </si>
  <si>
    <t xml:space="preserve">Car Air Vent Cleaning Brush (durable, ~60 jobs) — Air vent brush</t>
  </si>
  <si>
    <t xml:space="preserve">T-651</t>
  </si>
  <si>
    <t xml:space="preserve">P55 Shielding Film (1 roll, multiple jobs) — Small masking film for PPF prep</t>
  </si>
  <si>
    <t xml:space="preserve">1 roll</t>
  </si>
  <si>
    <t xml:space="preserve">T-652</t>
  </si>
  <si>
    <t xml:space="preserve">P110 Shielding Film (1 roll, multiple jobs) — Large masking film for PPF prep</t>
  </si>
  <si>
    <t xml:space="preserve">T-77</t>
  </si>
  <si>
    <t xml:space="preserve">Disposable Ceramic Coating Gloves (1 pair/job) — Single-use coating gloves</t>
  </si>
  <si>
    <t xml:space="preserve">T-702/821</t>
  </si>
  <si>
    <t xml:space="preserve">Ceramic Coating Applicator Sponge (1-2 per coating job) — Coating applicator</t>
  </si>
  <si>
    <t xml:space="preserve">T-780</t>
  </si>
  <si>
    <t xml:space="preserve">Suede Ceramic Cloth 10x10 (1-2 per coating job) — Coating buffing cloth</t>
  </si>
  <si>
    <t xml:space="preserve">T-535</t>
  </si>
  <si>
    <t xml:space="preserve">U-Shape Tire Dressing Applicator (durable, ~30 jobs) — Tire dressing applicator</t>
  </si>
  <si>
    <t xml:space="preserve">T-345</t>
  </si>
  <si>
    <t xml:space="preserve">Finger Microfiber Waxing Applicator (durable, ~30 jobs) — Waxing/sealant applicator</t>
  </si>
  <si>
    <t xml:space="preserve">T-511</t>
  </si>
  <si>
    <t xml:space="preserve">Gray Magic Clay Bar 150G (durable, ~10 jobs) — Clay bar decon</t>
  </si>
  <si>
    <t xml:space="preserve">T-777</t>
  </si>
  <si>
    <t xml:space="preserve">Automotive Masking Tape - any colour (durable, ~10 jobs/roll) — Masking tape for paint/PPF/polishing work</t>
  </si>
  <si>
    <t xml:space="preserve">T-308</t>
  </si>
  <si>
    <t xml:space="preserve">Car A/C Endoscope Cleaning Gun (durable, amortised over ~50 A/C jobs) — A/C duct inspection camera, used for A/C deep clean diagnostics</t>
  </si>
  <si>
    <t xml:space="preserve">C-373</t>
  </si>
  <si>
    <t xml:space="preserve">SRB Glass Reconditioning Agent (1Gal, ~100ml/job) — Removes water spots, acid rain marks and traffic film from glass</t>
  </si>
  <si>
    <t xml:space="preserve">1Gal</t>
  </si>
  <si>
    <t xml:space="preserve">DETAILHAUS — FINAL PACKAGE COSTING (Sedan vs SUV) — 14 Jun 2026</t>
  </si>
  <si>
    <t xml:space="preserve">Cost = sum of (landed cost per use × quantity) for consumables used in the package. SUV quantities are Sedan × 1.30. Product cost, labour and TOTAL COST are unchanged from the original cost model — only the pricing layer is new. FINAL RETAIL PRICE (blue) reflects the competitor-benchmarked retail prices set in this pricing review; PROFIT = FINAL RETAIL PRICE − TOTAL COST; MARGIN % = PROFIT / FINAL RETAIL PRICE.</t>
  </si>
  <si>
    <t xml:space="preserve">BRONZE — Express Wash &amp; Shine</t>
  </si>
  <si>
    <t xml:space="preserve">Tier: Entry</t>
  </si>
  <si>
    <t xml:space="preserve">Includes:</t>
  </si>
  <si>
    <t xml:space="preserve">Our quick, affordable entry detail — everything you'd get at a good local carwash, but done properly with a few extras most carwashes skip. Includes:
• Full foam pre-wash and hand wash
• Iron removal — dissolves brake dust baked onto your wheels and lower paint (the value-add a normal carwash won't do)
• Wheel cleaning and tire shine
• Plastic trim cleaning
• Streak-free glass cleaning, inside and out
• Full interior vacuum
• Dashboard and interior trim protection
• Hyper dressing — a fresh, non-greasy protective finish on interior plastics and rubber
Great for a regular clean-up that leaves the car looking sharp.
• Finishing shine: Ceramic Quick Detailer top-up spray for a protective glossy finish</t>
  </si>
  <si>
    <t xml:space="preserve">Item / Component</t>
  </si>
  <si>
    <t xml:space="preserve">Qty (Sedan)</t>
  </si>
  <si>
    <t xml:space="preserve">Qty (SUV)</t>
  </si>
  <si>
    <t xml:space="preserve">Unit Cost (USD)</t>
  </si>
  <si>
    <t xml:space="preserve">Sedan Cost (USD)</t>
  </si>
  <si>
    <t xml:space="preserve">SUV Cost (USD)</t>
  </si>
  <si>
    <t xml:space="preserve">Sedan Cost (KES)</t>
  </si>
  <si>
    <t xml:space="preserve">SUV Cost (KES)</t>
  </si>
  <si>
    <t xml:space="preserve">D15 — see Product Costs tab</t>
  </si>
  <si>
    <t xml:space="preserve">S32 — see Product Costs tab</t>
  </si>
  <si>
    <t xml:space="preserve">S7 — see Product Costs tab</t>
  </si>
  <si>
    <t xml:space="preserve">C71 — see Product Costs tab</t>
  </si>
  <si>
    <t xml:space="preserve">S18 — see Product Costs tab</t>
  </si>
  <si>
    <t xml:space="preserve">R4 — see Product Costs tab</t>
  </si>
  <si>
    <t xml:space="preserve">S9 — see Product Costs tab</t>
  </si>
  <si>
    <t xml:space="preserve">C06 — see Product Costs tab</t>
  </si>
  <si>
    <t xml:space="preserve">C65 — see Product Costs tab</t>
  </si>
  <si>
    <t xml:space="preserve">T-65 — see Product Costs tab</t>
  </si>
  <si>
    <t xml:space="preserve">T-353 — see Product Costs tab</t>
  </si>
  <si>
    <t xml:space="preserve">T-661 — see Product Costs tab</t>
  </si>
  <si>
    <t xml:space="preserve">T-351 — see Product Costs tab</t>
  </si>
  <si>
    <t xml:space="preserve">T-535 — see Product Costs tab</t>
  </si>
  <si>
    <t xml:space="preserve">S11 — see Product Costs tab</t>
  </si>
  <si>
    <t xml:space="preserve">Product cost subtotal</t>
  </si>
  <si>
    <t xml:space="preserve">Labour add-on (15% of product cost — standard rate)</t>
  </si>
  <si>
    <t xml:space="preserve">TOTAL COST (product + labour)</t>
  </si>
  <si>
    <t xml:space="preserve">FINAL RETAIL PRICE (Sedan / SUV, KES)</t>
  </si>
  <si>
    <t xml:space="preserve">PROFIT (Final Price − Total Cost)</t>
  </si>
  <si>
    <t xml:space="preserve">MARGIN % (Profit / Final Price)</t>
  </si>
  <si>
    <t xml:space="preserve">SILVER — Household Detail (Recommended)</t>
  </si>
  <si>
    <t xml:space="preserve">Tier: Standard</t>
  </si>
  <si>
    <t xml:space="preserve">Our most popular package — the recommended choice for the family car. Everything in Bronze, PLUS a proper interior and exterior refresh:
• Everything in Bronze (wash, iron removal, wheels, tires, glass, vacuum, dashboard, hyper dressing)
• Deep interior clean and steam cleaning of seats, carpets and door panels
• Fabric and leather protective coating (seats, mats, convertible tops) to repel water and stains
• Engine bay wash and degrease, finished with a protective dressing
• Watermark and water-spot removal on glass — acid rain marks, traffic film and hard-water spots polished off the windscreen and windows
• Headlight restoration — cloudy or yellow headlights sanded, restored and ceramic-coated for lasting clarity
The complete household detail that keeps your car fresh inside and out.
• Finishing shine: Ceramic Quick Detailer top-up spray for a protective glossy finish
• Roof/ceiling (headliner) cleaning — wiped and treated for a fresh, stain-free interior top
• Seatbelt cleaning — webbing and buckles cleaned, removing grime that builds up from regular use</t>
  </si>
  <si>
    <t xml:space="preserve">S14 — see Product Costs tab</t>
  </si>
  <si>
    <t xml:space="preserve">S15 — see Product Costs tab</t>
  </si>
  <si>
    <t xml:space="preserve">S36 — see Product Costs tab</t>
  </si>
  <si>
    <t xml:space="preserve">C55 — see Product Costs tab</t>
  </si>
  <si>
    <t xml:space="preserve">C-373 — see Product Costs tab</t>
  </si>
  <si>
    <t xml:space="preserve">S35 — see Product Costs tab</t>
  </si>
  <si>
    <t xml:space="preserve">S8 — see Product Costs tab</t>
  </si>
  <si>
    <t xml:space="preserve">T-768 — see Product Costs tab</t>
  </si>
  <si>
    <t xml:space="preserve">T-633 — see Product Costs tab</t>
  </si>
  <si>
    <t xml:space="preserve">T-627 — see Product Costs tab</t>
  </si>
  <si>
    <t xml:space="preserve">T-720 — see Product Costs tab</t>
  </si>
  <si>
    <t xml:space="preserve">T-556 — see Product Costs tab</t>
  </si>
  <si>
    <t xml:space="preserve">T-632 — see Product Costs tab</t>
  </si>
  <si>
    <t xml:space="preserve">S-525 — see Product Costs tab</t>
  </si>
  <si>
    <t xml:space="preserve">T-345 — see Product Costs tab</t>
  </si>
  <si>
    <t xml:space="preserve">W22 — see Product Costs tab</t>
  </si>
  <si>
    <t xml:space="preserve">S20 — see Product Costs tab</t>
  </si>
  <si>
    <t xml:space="preserve">GOLD — Complete Detail (100% Offering, No Coating)</t>
  </si>
  <si>
    <t xml:space="preserve">Tier: Premium detail</t>
  </si>
  <si>
    <t xml:space="preserve">The complete, no-compromise detail — 100% of our detailing services, everything except a long-term ceramic coating. Everything in Silver, PLUS:
• Everything in Silver (full interior + exterior detail, engine wash, headlights, glass watermark removal)
• Clay bar treatment — pulls out bonded contaminants the wash can't reach
• Full 3-step paint correction — polishing and buffing that removes scratches, swirl marks and dullness for a deep, glossy finish
• A/C deep clean — full air-conditioning system disinfection and deodorising, with an endoscope camera inspection of your ducts so you can see the before and after
• Plastic trim ceramic coating for long-lasting protection on exterior plastics
• Paint degreasing for a flawless, residue-free finish
Everything we offer in one package — add a ceramic coating to step up to Platinum.
• Finishing shine: Graphene Detail Spray — our premium top-up for extra gloss and slickness (an upgrade on the Bronze/Silver finish)
• Roof/ceiling (headliner) cleaning — wiped and treated for a fresh, stain-free interior top
• Seatbelt cleaning — webbing and buckles cleaned, removing grime that builds up from regular use
• Seats removed and cleaned underneath and behind — reaches the dirt, crumbs and dust a normal vacuum can't, plus a clean of the seat rails/floor tracks</t>
  </si>
  <si>
    <t xml:space="preserve">S31 — see Product Costs tab</t>
  </si>
  <si>
    <t xml:space="preserve">W14 — see Product Costs tab</t>
  </si>
  <si>
    <t xml:space="preserve">W21 — see Product Costs tab</t>
  </si>
  <si>
    <t xml:space="preserve">W38 — see Product Costs tab</t>
  </si>
  <si>
    <t xml:space="preserve">C64 — see Product Costs tab</t>
  </si>
  <si>
    <t xml:space="preserve">T-511 — see Product Costs tab</t>
  </si>
  <si>
    <t xml:space="preserve">R1 — see Product Costs tab</t>
  </si>
  <si>
    <t xml:space="preserve">R2 — see Product Costs tab</t>
  </si>
  <si>
    <t xml:space="preserve">S21 — see Product Costs tab</t>
  </si>
  <si>
    <t xml:space="preserve">A58 — see Product Costs tab</t>
  </si>
  <si>
    <t xml:space="preserve">T-308 — see Product Costs tab</t>
  </si>
  <si>
    <t xml:space="preserve">S27 — see Product Costs tab</t>
  </si>
  <si>
    <t xml:space="preserve">C41 — see Product Costs tab</t>
  </si>
  <si>
    <t xml:space="preserve">T-6001D/B/C — see Product Costs tab</t>
  </si>
  <si>
    <t xml:space="preserve">T-D1 — see Product Costs tab</t>
  </si>
  <si>
    <t xml:space="preserve">T-683 — see Product Costs tab</t>
  </si>
  <si>
    <t xml:space="preserve">T-812/813/814 — see Product Costs tab</t>
  </si>
  <si>
    <t xml:space="preserve">T-777 — see Product Costs tab</t>
  </si>
  <si>
    <t xml:space="preserve">T-733 — see Product Costs tab</t>
  </si>
  <si>
    <t xml:space="preserve">T-644 — see Product Costs tab</t>
  </si>
  <si>
    <t xml:space="preserve">R6 — see Product Costs tab</t>
  </si>
  <si>
    <t xml:space="preserve">Labour add-on (25% of product cost — increased for intensive/seat-removal work)</t>
  </si>
  <si>
    <t xml:space="preserve">PLATINUM 10H — Complete Detail + Graphene 10H + Glass Coating</t>
  </si>
  <si>
    <t xml:space="preserve">Tier: Flagship (2-3yr coating)</t>
  </si>
  <si>
    <t xml:space="preserve">Our flagship package with long-term protection. Everything in Gold (the complete 100% detail), PLUS:
• Everything in Gold (full detail, 3-step paint correction, clay bar, A/C deep clean, plastic coating)
• Graphene Ceramic Coating (10H) on the paintwork — 2-3 years of protection, extra gloss, and a surface that's far easier to keep clean
• Glass Crystal Coating on windscreen and windows — better rain visibility and easier-to-clean glass
The complete detail plus 2-3 year ceramic protection.
• Finishing shine: Graphene Detail Spray — our premium top-up for extra gloss and slickness (an upgrade on the Bronze/Silver finish)
• Roof/ceiling (headliner) cleaning — wiped and treated for a fresh, stain-free interior top
• Seatbelt cleaning — webbing and buckles cleaned, removing grime that builds up from regular use
• Seats removed and cleaned underneath and behind — reaches the dirt, crumbs and dust a normal vacuum can't, plus a clean of the seat rails/floor tracks</t>
  </si>
  <si>
    <t xml:space="preserve">SRB011 — see Product Costs tab</t>
  </si>
  <si>
    <t xml:space="preserve">T-94 — see Product Costs tab</t>
  </si>
  <si>
    <t xml:space="preserve">T-780 — see Product Costs tab</t>
  </si>
  <si>
    <t xml:space="preserve">T-77 — see Product Costs tab</t>
  </si>
  <si>
    <t xml:space="preserve">T-702/821 — see Product Costs tab</t>
  </si>
  <si>
    <t xml:space="preserve">P985 — see Product Costs tab</t>
  </si>
  <si>
    <t xml:space="preserve">PLATINUM 20H — Complete Detail + Graphene 20H + Glass Coating</t>
  </si>
  <si>
    <t xml:space="preserve">Tier: Flagship (4-5yr coating)</t>
  </si>
  <si>
    <t xml:space="preserve">Our ultimate package — the complete detail plus our longest-lasting protection. Everything in Gold, PLUS:
• Everything in Gold (full detail, 3-step paint correction, clay bar, A/C deep clean, plastic coating)
• Flagship Graphene Ceramic Coating (20H) on the paintwork — 4-5 years of protection, the highest gloss in our range, and maximum resistance to scratches, chemicals and UV fading
• Glass Crystal Coating on windscreen and windows — better rain visibility and easier-to-clean glass
The best we offer — the complete detail plus 4-5 year flagship ceramic protection.
• Finishing shine: Graphene Detail Spray — our premium top-up for extra gloss and slickness (an upgrade on the Bronze/Silver finish)
• Roof/ceiling (headliner) cleaning — wiped and treated for a fresh, stain-free interior top
• Seatbelt cleaning — webbing and buckles cleaned, removing grime that builds up from regular use
• Seats removed and cleaned underneath and behind — reaches the dirt, crumbs and dust a normal vacuum can't, plus a clean of the seat rails/floor tracks</t>
  </si>
  <si>
    <t xml:space="preserve">R13 — see Product Costs tab</t>
  </si>
  <si>
    <t xml:space="preserve">GLASS COATING — Standalone Add-on</t>
  </si>
  <si>
    <t xml:space="preserve">Tier: Coating add-on</t>
  </si>
  <si>
    <t xml:space="preserve">Standalone glass ceramic coating, applied to windscreen and windows on top of any tier (Bronze, Silver, Gold, or as part of Platinum). SRB Glass Crystal Coating kit (Glass Crystal + Glass Cleaner + Foam Applicator + Microfiber) gives:
• Improved rain visibility — water beads and rolls off instead of smearing
• Easier-to-clean glass — dirt and water spots wipe off more easily
• Long-lasting protection against hard water spots and traffic film
Note: Platinum (10H and 20H) already includes Glass Crystal Coating as part of its package price — this add-on is for Bronze, Silver or Gold clients who want glass protection without the full paint ceramic coating.</t>
  </si>
  <si>
    <t xml:space="preserve">PAINT CORRECTION — 3-Step Machine Polish</t>
  </si>
  <si>
    <t xml:space="preserve">Tier: Standalone / prep add-on</t>
  </si>
  <si>
    <t xml:space="preserve">Our full 3-step machine polish — available on its own, or as the perfect prep before PPF or ceramic coating. Includes:
• Clay bar decontamination — lifts bonded surface contaminants (tar, overspray, industrial fallout, salt film) that washing alone can't remove
• Full 3-step machine polish (heavy cut → medium → fine finishing compounds) — corrects oxidation, scratches, swirl marks and water-spot etching, restoring depth of colour and gloss
• Panel wipe-down before and after polishing (degreaser prep) for a clean, residue-free surface
• Finishing touch-up wax on any remaining light defects
This is the same 3-step correction included in Gold — now available as its own service. Best paired with Bronze if the car needs washing first, or booked directly before any PPF/ceramic coating install.</t>
  </si>
  <si>
    <t xml:space="preserve">NEW CAR DETAILING — Standalone</t>
  </si>
  <si>
    <t xml:space="preserve">Tier: Standalone (one-time, for fresh imports)</t>
  </si>
  <si>
    <t xml:space="preserve">A specialised one-time service for freshly imported vehicles that have travelled by sea (common for Japan imports), designed to remove salt residue and sea-air contamination before it causes corrosion. Recommended as the FIRST service on a new import, before any of the regular Bronze/Silver/Gold/Platinum packages.
These vehicles typically arrive heavily soiled on top of the salt exposure — months in a sea container or import yard leaves thick exterior grime, dusty/musty interiors, and often mould or stale air in the cabin and A/C system. This package treats BOTH problems: salt/corrosion risk AND general heavy dirt.
What gets done:
• Heavy decontamination wash (Citrus Heavy Dirt Cleaner) of the full exterior, including underbody-accessible panels, wheel arches and door jambs — salt is water-soluble but builds up in crevices and needs a strong, thorough rinse, not just a normal wash
• Wheel hub and wheel well cleaning (SRB Wheel Hub Cleaner) — wheel wells trap the most salt spray during sea transport and are a common rust-start point
• Iron removal treatment on wheels, wheel arches and lower body panels — dissolves embedded iron particles (often mixed with salt residue) before they oxidise further
• Degreasing of the lower body and engine bay — removes any protective shipping grease or residue along with trapped salt before applying fresh protection
• Hyper Dressing applied to rubber seals, door/boot weatherstripping, and exposed undercarriage plastics — salt exposure dries out and cracks rubber over time, so this restores moisture and creates a protective barrier
• Tire and plastic cleaning plus Graphene Tire Shine — sea transport often leaves tires and exterior plastics dull, salt-stained and faded
• Dashboard and interior trim protection — long sea transit in a closed container can leave interior plastics dry and faded
• A/C system inspection with the endoscope camera — checks for salt-laden moisture or mould in the ducts from humid sea-container conditions, common in fresh imports
• Full interior vacuum and wipe-down to clear shipping dust and the 'fresh import' smell
IMPORTANT — Gap in current inventory: a proper rust-proofing job for sea-exposed imports ideally also includes a dedicated anti-corrosion / rust-inhibitor treatment (e.g. a wax-based or oil-based underbody coating such as Fluid Film or Dinitrol) sprayed onto chassis rails, suspension components and the underbody. This product is NOT in the current SRB order. If you want to offer genuine long-term rust protection for sea-imported vehicles (not just surface decontamination), source an underbody rust-inhibitor product and this package can be re-costed to include it as the headline protective step.
Additional heavy-dirt treatment (on top of the salt decon steps above):
• Full foam pre-wash and two extra wash passes (Graphene Pre Wash, Graphene Shampoo, High Foam Shampoo) — import vehicles need more wash cycles than a normal detail to safely lift months of ground-in dirt without scratching the paint
• Tar and glue removal — common after sitting in ports/yards on tarmac
• Full interior deep clean: leather conditioning, fabric/carpet protective coating, and panel seam cleaning to clear dust that's worked into every crevice during storage
• Glass cleaning and protection, inside and out — import yard dust leaves windows very dirty
• Full A/C deep clean and deodorising (SRB A/C Deep Cleaning Set) — musty, stale, or mouldy A/C smell is extremely common on vehicles that have sat closed up for weeks during shipping
• Full detailing brush kit used throughout (leather brush, carpet brush, gap brush, air vent brush, detail brush sets) — these vehicles need much more crevice/corner attention than a regular detail
Paint correction &amp; polishing (essential for sea-exposed vehicles):
• Clay bar treatment — sea air leaves a film of salt and airborne contaminants bonded to the paint that a wash alone can't remove; clay lifts this out before polishing
• Full 3-step machine polish (rough/medium/fine compounds) — corrects oxidation, dullness, water-spot etching and salt-spray marks that build up on paint during weeks of sea transit, restoring depth of colour and gloss
• SRB Scratch Wax applied to any remaining light defects (chips/scuffs from loading and transit are common on import vehicles) for an even, finished look
Full interior teardown clean (recommended for sea imports):
• Seats removed and cleaned underneath and behind — this is where moisture, sand, mould and odour collect most during sea transit, and it's never reached by a normal vacuum/wipe
• Seat rails and floor tracks cleaned (Seam Cleaner) — salt-laden grit collects in these tracks and can cause them to seize over time
• Ceiling/headliner cleaning — humid container conditions commonly cause mildew spotting and staining on the headliner fabric; this is cleaned and deodorised as part of the A/C and interior treatment above
NOTE: removing and refitting seats adds meaningful labour time — this package should be quoted with a longer turnaround (recommend treating as a 1.5-2 day job) and the labour % in the costing may need to be increased for this package specifically to reflect the extra hands-on time, beyond the standard 15% used elsewhere in this model.</t>
  </si>
  <si>
    <t xml:space="preserve">Labour add-on (30% of product cost — increased for intensive/seat-removal work)</t>
  </si>
  <si>
    <t xml:space="preserve">MAINTENANCE CLUB — Monthly Membership</t>
  </si>
  <si>
    <t xml:space="preserve">Tier: Subscription</t>
  </si>
  <si>
    <t xml:space="preserve">The recurring monthly visit for Maintenance Club members — a quick but premium refresh that keeps a daily driver or luxury car looking sharp between the quarterly full details. Includes:
• Full foam pre-wash and hand wash
• Iron removal from wheels and lower paint
• Wheel cleaning and tire shine
• Plastic trim cleaning
• Light single-pass buff/refresh polish — maintains gloss and removes light marks picked up since the last visit, without the time/cost of a full 3-step correction (that's reserved for the quarterly visit)
• Glass cleaning, inside and out
• Full interior vacuum and a quick interior wipe-down/refresh
• Dashboard and trim protection
• Hyper dressing for interior plastics and rubber
• Finishing shine: Graphene Detail Spray — the premium top-up, included every visit as a member benefit
Every 3rd month, this monthly visit is upgraded to a full GOLD — Complete Detail at no extra charge (see GOLD section above for that full cost build-up). The figures below cost the recurring MONTHLY visit only; the blended membership economics follow after the subtotal.</t>
  </si>
  <si>
    <t xml:space="preserve">Monthly visit — product cost subtotal</t>
  </si>
  <si>
    <t xml:space="preserve">Monthly visit — TOTAL COST (product + labour)</t>
  </si>
  <si>
    <t xml:space="preserve">MEMBERSHIP ECONOMICS</t>
  </si>
  <si>
    <t xml:space="preserve">Quarterly visit TOTAL COST (= GOLD TOTAL COST, see above)</t>
  </si>
  <si>
    <t xml:space="preserve">Pay-as-you-go annual equivalent (8×monthly + 4×quarterly TOTAL COST)</t>
  </si>
  <si>
    <t xml:space="preserve">Blended monthly cost (annual equivalent / 12)</t>
  </si>
  <si>
    <t xml:space="preserve">FINAL MEMBERSHIP FEE (per month, KES)</t>
  </si>
  <si>
    <t xml:space="preserve">PROFIT (per month, KES)</t>
  </si>
  <si>
    <t xml:space="preserve">MARGIN % (Profit / Final Fee)</t>
  </si>
  <si>
    <t xml:space="preserve">Pay-as-you-go vs membership: the membership fee represents roughly a 15% saving vs booking these visits individually at retail — see Package Summary for the retail-price version of this comparison.</t>
  </si>
  <si>
    <t xml:space="preserve">CERAMIC COATING 10H — Standalone Application</t>
  </si>
  <si>
    <t xml:space="preserve">Tier: Coating add-on (2-3yr)</t>
  </si>
  <si>
    <t xml:space="preserve">Standalone Graphene Ceramic Coating (10H) application — for customers whose paint is already well-maintained (e.g. regular Maintenance Club members) and just want the protective coating applied or refreshed. Includes:
• Clay bar decontamination and full 3-step machine paint correction (same as our standalone Paint Correction package) — the proper prep for a flawless coating bond
• Graphene Ceramic Coating (10H) applied to the paintwork — 2-3 years of protection, extra gloss, far easier to keep clean
• Water-repellent Glass Crystal Coating on windscreen and windows
Does not include the full Gold interior/exterior detail — for that, see Platinum 10H, which bundles everything for a lower combined price.</t>
  </si>
  <si>
    <t xml:space="preserve">CERAMIC COATING 20H — Standalone Flagship Application</t>
  </si>
  <si>
    <t xml:space="preserve">Tier: Coating add-on (4-5yr)</t>
  </si>
  <si>
    <t xml:space="preserve">Standalone flagship Graphene Ceramic Coating (20H) application — for customers whose paint is already well-maintained and just want our longest-lasting coating applied or refreshed. Includes:
• Clay bar decontamination and full 3-step machine paint correction (same as our standalone Paint Correction package) — the proper prep for a flawless coating bond
• Flagship Graphene Ceramic Coating (20H) applied to the paintwork — 4-5 years of protection, the highest gloss in our range, maximum resistance to scratches, chemicals and UV fading
• Water-repellent Glass Crystal Coating on windscreen and windows
Does not include the full Gold interior/exterior detail — for that, see Platinum 20H, which bundles everything for a lower combined price.</t>
  </si>
  <si>
    <t xml:space="preserve">A/C DEEP CLEAN &amp; DECONTAMINATION — Standalone</t>
  </si>
  <si>
    <t xml:space="preserve">Tier: Standalone health service</t>
  </si>
  <si>
    <t xml:space="preserve">Standalone air-conditioning deep clean and decontamination. A/C cleaning is already included in Gold and Platinum, so this package is for:
• Bronze and Silver clients who want A/C care without booking a full detail
• Gold and Platinum clients who want a cabin health check between their (less frequent) full detail visits — the A/C doesn’t need to wait until the next annual detail
Includes:
• A/C system deep clean — full cleaning fluid treatment of the evaporator, ducts and vents, antibacterial disinfectant pass to eliminate bacteria and mould, deodoriser treatment and a negative-ion air purification tablet
• Endoscope camera duct inspection — the cleaning gun’s 4.3-inch HD camera confirms every area inside the ductwork has been reached during cleaning
• Air vent sanitisation — all cabin vents cleaned with a dedicated vent brush
• Cabin air freshener finish</t>
  </si>
  <si>
    <t xml:space="preserve">PPF MAINTENANCE CLUB — Monthly + 4th-Month PPF Health Upgrade</t>
  </si>
  <si>
    <t xml:space="preserve">Tier: Membership (PPF-safe variant)</t>
  </si>
  <si>
    <t xml:space="preserve">PPF MC — Monthly Bronze Visit (PPF-safe)</t>
  </si>
  <si>
    <t xml:space="preserve">PPF Maintenance Club — Monthly Bronze visit, PPF-safe formulation.
Same scope as Bronze but finishing product changed from Ceramic Quick Detailer (S11) to Wrap Detailer (S12) — specifically formulated for PPF/wrap surfaces, maintains hydrophobic properties without risking film cloudiness. Iron removal applied carefully around film edges only.</t>
  </si>
  <si>
    <t xml:space="preserve">S12 — see Product Costs tab</t>
  </si>
  <si>
    <t xml:space="preserve">Labour add-on (15% of product cost)</t>
  </si>
  <si>
    <t xml:space="preserve">PPF MC — Every-4th-Month PPF Health &amp; Interior Upgrade</t>
  </si>
  <si>
    <t xml:space="preserve">PPF Maintenance Club — Every-4th-month PPF Health &amp; Interior Upgrade.
Full Gold interior scope (carpet/leather/A/C/headliner etc.) but clay bar, correction compounds and polishing pads EXCLUDED — these would damage the film. Replaced with:
• PPF-safe decontamination (iron removal, tar removal)
• Wrap Detailer (S12) application to maintain and protect the PPF surface
Glass Crystal Coating refresh, headlight restoration &amp; ceramic coating, paint condition report.</t>
  </si>
  <si>
    <t xml:space="preserve">Labour add-on (25% of product cost)</t>
  </si>
  <si>
    <t xml:space="preserve">Pay-as-you-go annual equivalent (9×monthly + 3×4th-month TOTAL COST)</t>
  </si>
  <si>
    <t xml:space="preserve">Blended monthly cost (PAYG ÷ 12)</t>
  </si>
  <si>
    <t xml:space="preserve">FINAL MEMBERSHIP FEE (KES/month) — same as standard MC</t>
  </si>
  <si>
    <t xml:space="preserve">PROFIT per month (Fee − Blended cost)</t>
  </si>
  <si>
    <t xml:space="preserve">MARGIN % (Profit / Fee)</t>
  </si>
  <si>
    <t xml:space="preserve">PPF Maintenance Club delivers the same Gold-equivalent care value as the standard MC but skips clay-bar and machine correction (which would damage the film), replacing them with PPF-specific film care (Wrap Detailer S12). Lower consumable cost vs standard Gold upgrade means slightly improved margin despite identical retail price.</t>
  </si>
</sst>
</file>

<file path=xl/styles.xml><?xml version="1.0" encoding="utf-8"?>
<styleSheet xmlns="http://schemas.openxmlformats.org/spreadsheetml/2006/main">
  <numFmts count="11">
    <numFmt numFmtId="164" formatCode="General"/>
    <numFmt numFmtId="165" formatCode="#,##0"/>
    <numFmt numFmtId="166" formatCode="0.00"/>
    <numFmt numFmtId="167" formatCode="0.0%"/>
    <numFmt numFmtId="168" formatCode="\$#,##0.00"/>
    <numFmt numFmtId="169" formatCode="0.00\x"/>
    <numFmt numFmtId="170" formatCode="0%"/>
    <numFmt numFmtId="171" formatCode="#,##0;\(#,##0\);\-"/>
    <numFmt numFmtId="172" formatCode="\$#,##0.000"/>
    <numFmt numFmtId="173" formatCode="#,##0.00"/>
    <numFmt numFmtId="174" formatCode="0"/>
  </numFmts>
  <fonts count="2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1"/>
      <name val="Arial"/>
      <family val="0"/>
      <charset val="1"/>
    </font>
    <font>
      <b val="true"/>
      <sz val="10"/>
      <name val="Arial"/>
      <family val="0"/>
      <charset val="1"/>
    </font>
    <font>
      <sz val="10"/>
      <name val="Arial"/>
      <family val="0"/>
      <charset val="1"/>
    </font>
    <font>
      <sz val="10"/>
      <color rgb="FF0000FF"/>
      <name val="Arial"/>
      <family val="0"/>
      <charset val="1"/>
    </font>
    <font>
      <i val="true"/>
      <sz val="9"/>
      <color rgb="FF666666"/>
      <name val="Arial"/>
      <family val="0"/>
      <charset val="1"/>
    </font>
    <font>
      <sz val="9"/>
      <color rgb="FF666666"/>
      <name val="Arial"/>
      <family val="0"/>
      <charset val="1"/>
    </font>
    <font>
      <b val="true"/>
      <sz val="11"/>
      <color rgb="FF1F3864"/>
      <name val="Arial"/>
      <family val="0"/>
      <charset val="1"/>
    </font>
    <font>
      <b val="true"/>
      <sz val="10"/>
      <color rgb="FFFFFFFF"/>
      <name val="Arial"/>
      <family val="0"/>
      <charset val="1"/>
    </font>
    <font>
      <sz val="10"/>
      <color rgb="FF008000"/>
      <name val="Arial"/>
      <family val="0"/>
      <charset val="1"/>
    </font>
    <font>
      <b val="true"/>
      <sz val="10"/>
      <color rgb="FF0000FF"/>
      <name val="Arial"/>
      <family val="0"/>
      <charset val="1"/>
    </font>
    <font>
      <i val="true"/>
      <sz val="10"/>
      <name val="Arial"/>
      <family val="0"/>
      <charset val="1"/>
    </font>
    <font>
      <sz val="10"/>
      <color rgb="FF888888"/>
      <name val="Arial"/>
      <family val="0"/>
      <charset val="1"/>
    </font>
    <font>
      <i val="true"/>
      <sz val="9"/>
      <color rgb="FF595959"/>
      <name val="Arial"/>
      <family val="0"/>
      <charset val="1"/>
    </font>
    <font>
      <sz val="9"/>
      <color rgb="FF595959"/>
      <name val="Arial"/>
      <family val="0"/>
      <charset val="1"/>
    </font>
    <font>
      <sz val="9"/>
      <name val="Arial"/>
      <family val="0"/>
      <charset val="1"/>
    </font>
    <font>
      <b val="true"/>
      <sz val="10"/>
      <color rgb="FF5C7A6E"/>
      <name val="Arial"/>
      <family val="0"/>
      <charset val="1"/>
    </font>
  </fonts>
  <fills count="8">
    <fill>
      <patternFill patternType="none"/>
    </fill>
    <fill>
      <patternFill patternType="gray125"/>
    </fill>
    <fill>
      <patternFill patternType="solid">
        <fgColor rgb="FFD9E1F2"/>
        <bgColor rgb="FFE2EFDA"/>
      </patternFill>
    </fill>
    <fill>
      <patternFill patternType="solid">
        <fgColor rgb="FFFCE4D6"/>
        <bgColor rgb="FFFFF2CC"/>
      </patternFill>
    </fill>
    <fill>
      <patternFill patternType="solid">
        <fgColor rgb="FF1F3864"/>
        <bgColor rgb="FF333399"/>
      </patternFill>
    </fill>
    <fill>
      <patternFill patternType="solid">
        <fgColor rgb="FFFFF2CC"/>
        <bgColor rgb="FFFCE4D6"/>
      </patternFill>
    </fill>
    <fill>
      <patternFill patternType="solid">
        <fgColor rgb="FFE2EFDA"/>
        <bgColor rgb="FFE8F0EC"/>
      </patternFill>
    </fill>
    <fill>
      <patternFill patternType="solid">
        <fgColor rgb="FFE8F0EC"/>
        <bgColor rgb="FFE2EFDA"/>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8"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8" fontId="6" fillId="2" borderId="1" xfId="0" applyFont="true" applyBorder="true" applyAlignment="tru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general" vertical="bottom" textRotation="0" wrapText="false" indent="0" shrinkToFit="false"/>
      <protection locked="true" hidden="false"/>
    </xf>
    <xf numFmtId="169" fontId="6"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left" vertical="bottom" textRotation="0" wrapText="true" indent="0" shrinkToFit="false"/>
      <protection locked="true" hidden="false"/>
    </xf>
    <xf numFmtId="164" fontId="12" fillId="4" borderId="0" xfId="0" applyFont="true" applyBorder="false" applyAlignment="true" applyProtection="false">
      <alignment horizontal="center"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70" fontId="14" fillId="5"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71" fontId="8" fillId="0" borderId="2" xfId="0" applyFont="true" applyBorder="true" applyAlignment="true" applyProtection="false">
      <alignment horizontal="general" vertical="bottom" textRotation="0" wrapText="false" indent="0" shrinkToFit="false"/>
      <protection locked="true" hidden="false"/>
    </xf>
    <xf numFmtId="171" fontId="7" fillId="0" borderId="2" xfId="0" applyFont="true" applyBorder="true" applyAlignment="true" applyProtection="false">
      <alignment horizontal="general" vertical="bottom" textRotation="0" wrapText="false" indent="0" shrinkToFit="false"/>
      <protection locked="true" hidden="false"/>
    </xf>
    <xf numFmtId="167" fontId="7" fillId="0" borderId="2" xfId="0" applyFont="true" applyBorder="true" applyAlignment="tru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71" fontId="0" fillId="0" borderId="2" xfId="0" applyFont="false" applyBorder="true" applyAlignment="true" applyProtection="false">
      <alignment horizontal="general" vertical="bottom" textRotation="0" wrapText="false" indent="0" shrinkToFit="false"/>
      <protection locked="true" hidden="false"/>
    </xf>
    <xf numFmtId="167" fontId="0" fillId="0" borderId="2" xfId="0" applyFont="fals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8" fontId="13" fillId="0" borderId="1" xfId="0" applyFont="true" applyBorder="true" applyAlignment="tru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72" fontId="13" fillId="0" borderId="1" xfId="0" applyFont="true" applyBorder="true" applyAlignment="true" applyProtection="false">
      <alignment horizontal="general" vertical="bottom" textRotation="0" wrapText="false" indent="0" shrinkToFit="false"/>
      <protection locked="true" hidden="false"/>
    </xf>
    <xf numFmtId="173" fontId="13" fillId="0" borderId="1" xfId="0" applyFont="true" applyBorder="true" applyAlignment="true" applyProtection="false">
      <alignment horizontal="general" vertical="bottom" textRotation="0" wrapText="false" indent="0" shrinkToFit="false"/>
      <protection locked="true" hidden="false"/>
    </xf>
    <xf numFmtId="174" fontId="7" fillId="0" borderId="1" xfId="0" applyFont="true" applyBorder="true" applyAlignment="true" applyProtection="false">
      <alignment horizontal="center" vertical="bottom" textRotation="0" wrapText="false" indent="0" shrinkToFit="false"/>
      <protection locked="true" hidden="false"/>
    </xf>
    <xf numFmtId="172" fontId="7" fillId="0" borderId="1" xfId="0" applyFont="true" applyBorder="true" applyAlignment="tru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9" fillId="3"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72" fontId="13" fillId="0" borderId="0" xfId="0" applyFont="true" applyBorder="false" applyAlignment="tru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73" fontId="7" fillId="0"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8" fontId="6" fillId="6" borderId="0" xfId="0" applyFont="true" applyBorder="false" applyAlignment="true" applyProtection="false">
      <alignment horizontal="general" vertical="bottom" textRotation="0" wrapText="false" indent="0" shrinkToFit="false"/>
      <protection locked="true" hidden="false"/>
    </xf>
    <xf numFmtId="165" fontId="6" fillId="6"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6" fillId="5" borderId="0" xfId="0" applyFont="true" applyBorder="false" applyAlignment="true" applyProtection="false">
      <alignment horizontal="general" vertical="bottom" textRotation="0" wrapText="false" indent="0" shrinkToFit="false"/>
      <protection locked="true" hidden="false"/>
    </xf>
    <xf numFmtId="165" fontId="14" fillId="5" borderId="0" xfId="0" applyFont="true" applyBorder="false" applyAlignment="true" applyProtection="false">
      <alignment horizontal="general" vertical="bottom" textRotation="0" wrapText="false" indent="0" shrinkToFit="false"/>
      <protection locked="true" hidden="false"/>
    </xf>
    <xf numFmtId="167" fontId="6" fillId="6"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20" fillId="7" borderId="0" xfId="0" applyFont="true" applyBorder="fals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73"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88888"/>
      <rgbColor rgb="FF9999FF"/>
      <rgbColor rgb="FF993366"/>
      <rgbColor rgb="FFFFF2CC"/>
      <rgbColor rgb="FFE8F0EC"/>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D9E1F2"/>
      <rgbColor rgb="FFE2EFDA"/>
      <rgbColor rgb="FFFFFF99"/>
      <rgbColor rgb="FF99CCFF"/>
      <rgbColor rgb="FFFF99CC"/>
      <rgbColor rgb="FFCC99FF"/>
      <rgbColor rgb="FFFCE4D6"/>
      <rgbColor rgb="FF3366FF"/>
      <rgbColor rgb="FF33CCCC"/>
      <rgbColor rgb="FF99CC00"/>
      <rgbColor rgb="FFFFCC00"/>
      <rgbColor rgb="FFFF9900"/>
      <rgbColor rgb="FFFF6600"/>
      <rgbColor rgb="FF666666"/>
      <rgbColor rgb="FF969696"/>
      <rgbColor rgb="FF1F3864"/>
      <rgbColor rgb="FF5C7A6E"/>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6"/>
    <col collapsed="false" customWidth="true" hidden="false" outlineLevel="0" max="3" min="3" style="1" width="18"/>
    <col collapsed="false" customWidth="true" hidden="false" outlineLevel="0" max="4" min="4" style="1" width="50"/>
  </cols>
  <sheetData>
    <row r="1" customFormat="false" ht="17.25" hidden="false" customHeight="true" outlineLevel="0" collapsed="false">
      <c r="A1" s="2" t="s">
        <v>0</v>
      </c>
      <c r="B1" s="2"/>
      <c r="C1" s="2"/>
      <c r="D1" s="2"/>
    </row>
    <row r="3" customFormat="false" ht="15" hidden="false" customHeight="true" outlineLevel="0" collapsed="false">
      <c r="A3" s="3" t="s">
        <v>1</v>
      </c>
      <c r="B3" s="3"/>
      <c r="C3" s="3"/>
      <c r="D3" s="3"/>
    </row>
    <row r="4" customFormat="false" ht="15" hidden="false" customHeight="true" outlineLevel="0" collapsed="false">
      <c r="A4" s="4" t="s">
        <v>2</v>
      </c>
      <c r="B4" s="4" t="s">
        <v>3</v>
      </c>
      <c r="C4" s="4" t="s">
        <v>4</v>
      </c>
      <c r="D4" s="4" t="s">
        <v>5</v>
      </c>
    </row>
    <row r="5" customFormat="false" ht="15" hidden="false" customHeight="true" outlineLevel="0" collapsed="false">
      <c r="A5" s="5" t="s">
        <v>6</v>
      </c>
      <c r="B5" s="6" t="n">
        <v>135</v>
      </c>
      <c r="C5" s="5" t="s">
        <v>7</v>
      </c>
      <c r="D5" s="7" t="s">
        <v>8</v>
      </c>
    </row>
    <row r="6" customFormat="false" ht="15" hidden="false" customHeight="true" outlineLevel="0" collapsed="false">
      <c r="A6" s="5" t="s">
        <v>9</v>
      </c>
      <c r="B6" s="6" t="n">
        <v>61500</v>
      </c>
      <c r="C6" s="5" t="s">
        <v>7</v>
      </c>
      <c r="D6" s="7" t="s">
        <v>10</v>
      </c>
    </row>
    <row r="7" customFormat="false" ht="15" hidden="false" customHeight="true" outlineLevel="0" collapsed="false">
      <c r="A7" s="5" t="s">
        <v>11</v>
      </c>
      <c r="B7" s="8" t="n">
        <v>1.2</v>
      </c>
      <c r="C7" s="5" t="s">
        <v>12</v>
      </c>
      <c r="D7" s="7" t="s">
        <v>13</v>
      </c>
    </row>
    <row r="8" customFormat="false" ht="15" hidden="false" customHeight="true" outlineLevel="0" collapsed="false">
      <c r="A8" s="5" t="s">
        <v>14</v>
      </c>
      <c r="B8" s="9" t="n">
        <v>0.25</v>
      </c>
      <c r="C8" s="5" t="s">
        <v>15</v>
      </c>
      <c r="D8" s="7" t="s">
        <v>16</v>
      </c>
    </row>
    <row r="9" customFormat="false" ht="15" hidden="false" customHeight="true" outlineLevel="0" collapsed="false">
      <c r="A9" s="5" t="s">
        <v>17</v>
      </c>
      <c r="B9" s="9" t="n">
        <v>0.15</v>
      </c>
      <c r="C9" s="5" t="s">
        <v>15</v>
      </c>
      <c r="D9" s="7" t="s">
        <v>18</v>
      </c>
    </row>
    <row r="10" customFormat="false" ht="15" hidden="false" customHeight="true" outlineLevel="0" collapsed="false">
      <c r="A10" s="5" t="s">
        <v>19</v>
      </c>
      <c r="B10" s="9" t="n">
        <v>0.5</v>
      </c>
      <c r="C10" s="5" t="s">
        <v>15</v>
      </c>
      <c r="D10" s="7" t="s">
        <v>20</v>
      </c>
    </row>
    <row r="12" customFormat="false" ht="15" hidden="false" customHeight="true" outlineLevel="0" collapsed="false">
      <c r="A12" s="3" t="s">
        <v>21</v>
      </c>
      <c r="B12" s="3"/>
      <c r="C12" s="3"/>
      <c r="D12" s="3"/>
    </row>
    <row r="13" customFormat="false" ht="15" hidden="false" customHeight="true" outlineLevel="0" collapsed="false">
      <c r="A13" s="4" t="s">
        <v>2</v>
      </c>
      <c r="B13" s="4" t="s">
        <v>22</v>
      </c>
      <c r="C13" s="4" t="s">
        <v>23</v>
      </c>
    </row>
    <row r="14" customFormat="false" ht="15" hidden="false" customHeight="true" outlineLevel="0" collapsed="false">
      <c r="A14" s="5" t="s">
        <v>24</v>
      </c>
      <c r="B14" s="10" t="n">
        <v>3803</v>
      </c>
      <c r="C14" s="11" t="n">
        <f aca="false">B14*$B$5</f>
        <v>513405</v>
      </c>
    </row>
    <row r="15" customFormat="false" ht="15" hidden="false" customHeight="true" outlineLevel="0" collapsed="false">
      <c r="A15" s="5" t="s">
        <v>25</v>
      </c>
      <c r="B15" s="10" t="n">
        <v>1591.58</v>
      </c>
      <c r="C15" s="11" t="n">
        <f aca="false">B15*$B$5</f>
        <v>214863.3</v>
      </c>
    </row>
    <row r="16" customFormat="false" ht="15" hidden="false" customHeight="true" outlineLevel="0" collapsed="false">
      <c r="A16" s="12" t="s">
        <v>26</v>
      </c>
      <c r="B16" s="13" t="n">
        <f aca="false">SUM(B14:B15)</f>
        <v>5394.58</v>
      </c>
      <c r="C16" s="14" t="n">
        <f aca="false">B16*$B$5</f>
        <v>728268.3</v>
      </c>
    </row>
    <row r="17" customFormat="false" ht="15" hidden="false" customHeight="true" outlineLevel="0" collapsed="false">
      <c r="A17" s="12" t="s">
        <v>27</v>
      </c>
      <c r="B17" s="13" t="n">
        <f aca="false">(B7*B6)/B5</f>
        <v>546.666666666667</v>
      </c>
      <c r="C17" s="14" t="n">
        <f aca="false">B7*B6</f>
        <v>73800</v>
      </c>
    </row>
    <row r="18" customFormat="false" ht="15" hidden="false" customHeight="true" outlineLevel="0" collapsed="false">
      <c r="A18" s="12" t="s">
        <v>28</v>
      </c>
      <c r="B18" s="13" t="n">
        <f aca="false">B16+B17</f>
        <v>5941.24666666667</v>
      </c>
      <c r="C18" s="14" t="n">
        <f aca="false">B18*$B$5</f>
        <v>802068.3</v>
      </c>
    </row>
    <row r="19" customFormat="false" ht="15" hidden="false" customHeight="true" outlineLevel="0" collapsed="false">
      <c r="A19" s="5" t="s">
        <v>29</v>
      </c>
      <c r="B19" s="10" t="n">
        <f aca="false">B18*B8</f>
        <v>1485.31166666667</v>
      </c>
      <c r="C19" s="11" t="n">
        <f aca="false">B19*$B$5</f>
        <v>200517.075</v>
      </c>
    </row>
    <row r="20" customFormat="false" ht="15" hidden="false" customHeight="true" outlineLevel="0" collapsed="false">
      <c r="A20" s="4" t="s">
        <v>30</v>
      </c>
      <c r="B20" s="15" t="n">
        <f aca="false">B18+B19</f>
        <v>7426.55833333333</v>
      </c>
      <c r="C20" s="16" t="n">
        <f aca="false">B20*$B$5</f>
        <v>1002585.375</v>
      </c>
    </row>
    <row r="21" customFormat="false" ht="15" hidden="false" customHeight="true" outlineLevel="0" collapsed="false">
      <c r="A21" s="12" t="s">
        <v>31</v>
      </c>
      <c r="B21" s="17" t="n">
        <f aca="false">B20/B16</f>
        <v>1.37667034937536</v>
      </c>
      <c r="C21" s="18"/>
    </row>
    <row r="22" customFormat="false" ht="30" hidden="false" customHeight="true" outlineLevel="0" collapsed="false">
      <c r="A22" s="19" t="s">
        <v>32</v>
      </c>
      <c r="B22" s="19"/>
      <c r="C22" s="19"/>
      <c r="D22" s="19"/>
    </row>
  </sheetData>
  <mergeCells count="4">
    <mergeCell ref="A1:D1"/>
    <mergeCell ref="A3:D3"/>
    <mergeCell ref="A12:D12"/>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4"/>
    <col collapsed="false" customWidth="true" hidden="false" outlineLevel="0" max="2" min="2" style="1" width="12"/>
    <col collapsed="false" customWidth="true" hidden="false" outlineLevel="0" max="3" min="3" style="1" width="13"/>
    <col collapsed="false" customWidth="true" hidden="false" outlineLevel="0" max="4" min="4" style="1" width="12"/>
    <col collapsed="false" customWidth="true" hidden="false" outlineLevel="0" max="5" min="5" style="1" width="10"/>
    <col collapsed="false" customWidth="true" hidden="false" outlineLevel="0" max="6" min="6" style="1" width="12"/>
    <col collapsed="false" customWidth="true" hidden="false" outlineLevel="0" max="7" min="7" style="1" width="13"/>
    <col collapsed="false" customWidth="true" hidden="false" outlineLevel="0" max="8" min="8" style="1" width="12"/>
    <col collapsed="false" customWidth="true" hidden="false" outlineLevel="0" max="9" min="9" style="1" width="10"/>
  </cols>
  <sheetData>
    <row r="1" customFormat="false" ht="17.25" hidden="false" customHeight="true" outlineLevel="0" collapsed="false">
      <c r="A1" s="20" t="s">
        <v>33</v>
      </c>
    </row>
    <row r="2" customFormat="false" ht="15" hidden="false" customHeight="true" outlineLevel="0" collapsed="false">
      <c r="A2" s="21" t="s">
        <v>34</v>
      </c>
      <c r="B2" s="21"/>
      <c r="C2" s="21"/>
      <c r="D2" s="21"/>
      <c r="E2" s="21"/>
      <c r="F2" s="21"/>
      <c r="G2" s="21"/>
      <c r="H2" s="21"/>
      <c r="I2" s="21"/>
    </row>
    <row r="4" customFormat="false" ht="15" hidden="false" customHeight="true" outlineLevel="0" collapsed="false">
      <c r="A4" s="22" t="s">
        <v>35</v>
      </c>
      <c r="B4" s="23"/>
      <c r="C4" s="23"/>
      <c r="D4" s="23"/>
      <c r="E4" s="23"/>
      <c r="F4" s="23"/>
      <c r="G4" s="23"/>
      <c r="H4" s="23"/>
      <c r="I4" s="23"/>
    </row>
    <row r="5" customFormat="false" ht="27.75" hidden="false" customHeight="true" outlineLevel="0" collapsed="false">
      <c r="A5" s="24" t="s">
        <v>36</v>
      </c>
      <c r="B5" s="25" t="s">
        <v>37</v>
      </c>
      <c r="C5" s="25" t="s">
        <v>38</v>
      </c>
      <c r="D5" s="25" t="s">
        <v>39</v>
      </c>
      <c r="E5" s="25" t="s">
        <v>40</v>
      </c>
      <c r="F5" s="25" t="s">
        <v>41</v>
      </c>
      <c r="G5" s="25" t="s">
        <v>42</v>
      </c>
      <c r="H5" s="25" t="s">
        <v>43</v>
      </c>
      <c r="I5" s="25" t="s">
        <v>44</v>
      </c>
    </row>
    <row r="6" customFormat="false" ht="15" hidden="false" customHeight="true" outlineLevel="0" collapsed="false">
      <c r="A6" s="26" t="s">
        <v>45</v>
      </c>
      <c r="B6" s="27" t="n">
        <f aca="false">'Package Costing'!G24</f>
        <v>700.105284516589</v>
      </c>
      <c r="C6" s="27" t="n">
        <f aca="false">'Package Costing'!G25</f>
        <v>5000</v>
      </c>
      <c r="D6" s="28" t="n">
        <f aca="false">C6-B6</f>
        <v>4299.89471548341</v>
      </c>
      <c r="E6" s="29" t="n">
        <f aca="false">D6/C6</f>
        <v>0.859978943096682</v>
      </c>
      <c r="F6" s="27" t="n">
        <f aca="false">'Package Costing'!H24</f>
        <v>910.136869871566</v>
      </c>
      <c r="G6" s="27" t="n">
        <f aca="false">'Package Costing'!H25</f>
        <v>7000</v>
      </c>
      <c r="H6" s="28" t="n">
        <f aca="false">G6-F6</f>
        <v>6089.86313012843</v>
      </c>
      <c r="I6" s="29" t="n">
        <f aca="false">H6/G6</f>
        <v>0.869980447161205</v>
      </c>
    </row>
    <row r="7" customFormat="false" ht="15" hidden="false" customHeight="true" outlineLevel="0" collapsed="false">
      <c r="A7" s="26" t="s">
        <v>46</v>
      </c>
      <c r="B7" s="27" t="n">
        <f aca="false">'Package Costing'!G66</f>
        <v>1488.63412198676</v>
      </c>
      <c r="C7" s="27" t="n">
        <f aca="false">'Package Costing'!G67</f>
        <v>18000</v>
      </c>
      <c r="D7" s="28" t="n">
        <f aca="false">C7-B7</f>
        <v>16511.3658780132</v>
      </c>
      <c r="E7" s="29" t="n">
        <f aca="false">D7/C7</f>
        <v>0.917298104334069</v>
      </c>
      <c r="F7" s="27" t="n">
        <f aca="false">'Package Costing'!H66</f>
        <v>1935.22435858278</v>
      </c>
      <c r="G7" s="27" t="n">
        <f aca="false">'Package Costing'!H67</f>
        <v>22000</v>
      </c>
      <c r="H7" s="28" t="n">
        <f aca="false">G7-F7</f>
        <v>20064.7756414172</v>
      </c>
      <c r="I7" s="29" t="n">
        <f aca="false">H7/G7</f>
        <v>0.912035256428055</v>
      </c>
    </row>
    <row r="8" customFormat="false" ht="15" hidden="false" customHeight="true" outlineLevel="0" collapsed="false">
      <c r="A8" s="26" t="s">
        <v>47</v>
      </c>
      <c r="B8" s="27" t="n">
        <f aca="false">'Package Costing'!G126</f>
        <v>4579.16043338578</v>
      </c>
      <c r="C8" s="27" t="n">
        <f aca="false">'Package Costing'!G127</f>
        <v>40000</v>
      </c>
      <c r="D8" s="28" t="n">
        <f aca="false">C8-B8</f>
        <v>35420.8395666142</v>
      </c>
      <c r="E8" s="29" t="n">
        <f aca="false">D8/C8</f>
        <v>0.885520989165355</v>
      </c>
      <c r="F8" s="27" t="n">
        <f aca="false">'Package Costing'!H126</f>
        <v>5952.90856340152</v>
      </c>
      <c r="G8" s="27" t="n">
        <f aca="false">'Package Costing'!H127</f>
        <v>50000</v>
      </c>
      <c r="H8" s="28" t="n">
        <f aca="false">G8-F8</f>
        <v>44047.0914365985</v>
      </c>
      <c r="I8" s="29" t="n">
        <f aca="false">H8/G8</f>
        <v>0.88094182873197</v>
      </c>
    </row>
    <row r="9" customFormat="false" ht="15" hidden="false" customHeight="true" outlineLevel="0" collapsed="false">
      <c r="A9" s="26" t="s">
        <v>48</v>
      </c>
      <c r="B9" s="27" t="n">
        <f aca="false">'Package Costing'!G192</f>
        <v>35309.5401397299</v>
      </c>
      <c r="C9" s="27" t="n">
        <f aca="false">'Package Costing'!G193</f>
        <v>90000</v>
      </c>
      <c r="D9" s="28" t="n">
        <f aca="false">C9-B9</f>
        <v>54690.4598602701</v>
      </c>
      <c r="E9" s="29" t="n">
        <f aca="false">D9/C9</f>
        <v>0.607671776225223</v>
      </c>
      <c r="F9" s="27" t="n">
        <f aca="false">'Package Costing'!H192</f>
        <v>45902.4021816489</v>
      </c>
      <c r="G9" s="27" t="n">
        <f aca="false">'Package Costing'!H193</f>
        <v>110000</v>
      </c>
      <c r="H9" s="28" t="n">
        <f aca="false">G9-F9</f>
        <v>64097.5978183511</v>
      </c>
      <c r="I9" s="29" t="n">
        <f aca="false">H9/G9</f>
        <v>0.582705434712283</v>
      </c>
    </row>
    <row r="10" customFormat="false" ht="15" hidden="false" customHeight="true" outlineLevel="0" collapsed="false">
      <c r="A10" s="26" t="s">
        <v>49</v>
      </c>
      <c r="B10" s="27" t="n">
        <f aca="false">'Package Costing'!G258</f>
        <v>72580.7569157305</v>
      </c>
      <c r="C10" s="27" t="n">
        <f aca="false">'Package Costing'!G259</f>
        <v>150000</v>
      </c>
      <c r="D10" s="28" t="n">
        <f aca="false">C10-B10</f>
        <v>77419.2430842695</v>
      </c>
      <c r="E10" s="29" t="n">
        <f aca="false">D10/C10</f>
        <v>0.516128287228464</v>
      </c>
      <c r="F10" s="27" t="n">
        <f aca="false">'Package Costing'!H258</f>
        <v>94354.9839904496</v>
      </c>
      <c r="G10" s="27" t="n">
        <f aca="false">'Package Costing'!H259</f>
        <v>180000</v>
      </c>
      <c r="H10" s="28" t="n">
        <f aca="false">G10-F10</f>
        <v>85645.0160095504</v>
      </c>
      <c r="I10" s="29" t="n">
        <f aca="false">H10/G10</f>
        <v>0.475805644497502</v>
      </c>
    </row>
    <row r="12" customFormat="false" ht="15" hidden="false" customHeight="true" outlineLevel="0" collapsed="false">
      <c r="A12" s="22" t="s">
        <v>50</v>
      </c>
      <c r="B12" s="23"/>
      <c r="C12" s="23"/>
      <c r="D12" s="23"/>
      <c r="E12" s="23"/>
      <c r="F12" s="23"/>
      <c r="G12" s="23"/>
      <c r="H12" s="23"/>
      <c r="I12" s="23"/>
    </row>
    <row r="13" customFormat="false" ht="27.75" hidden="false" customHeight="true" outlineLevel="0" collapsed="false">
      <c r="A13" s="24" t="s">
        <v>36</v>
      </c>
      <c r="B13" s="25" t="s">
        <v>37</v>
      </c>
      <c r="C13" s="25" t="s">
        <v>38</v>
      </c>
      <c r="D13" s="25" t="s">
        <v>39</v>
      </c>
      <c r="E13" s="25" t="s">
        <v>40</v>
      </c>
      <c r="F13" s="25" t="s">
        <v>41</v>
      </c>
      <c r="G13" s="25" t="s">
        <v>42</v>
      </c>
      <c r="H13" s="25" t="s">
        <v>43</v>
      </c>
      <c r="I13" s="25" t="s">
        <v>44</v>
      </c>
    </row>
    <row r="14" customFormat="false" ht="15" hidden="false" customHeight="true" outlineLevel="0" collapsed="false">
      <c r="A14" s="26" t="s">
        <v>51</v>
      </c>
      <c r="B14" s="27" t="n">
        <f aca="false">'Package Costing'!G270</f>
        <v>3473.6796043844</v>
      </c>
      <c r="C14" s="27" t="n">
        <f aca="false">'Package Costing'!G271</f>
        <v>10000</v>
      </c>
      <c r="D14" s="28" t="n">
        <f aca="false">C14-B14</f>
        <v>6526.3203956156</v>
      </c>
      <c r="E14" s="29" t="n">
        <f aca="false">D14/C14</f>
        <v>0.65263203956156</v>
      </c>
      <c r="F14" s="27" t="n">
        <f aca="false">'Package Costing'!H270</f>
        <v>4515.78348569972</v>
      </c>
      <c r="G14" s="27" t="n">
        <f aca="false">'Package Costing'!H271</f>
        <v>12000</v>
      </c>
      <c r="H14" s="28" t="n">
        <f aca="false">G14-F14</f>
        <v>7484.21651430028</v>
      </c>
      <c r="I14" s="29" t="n">
        <f aca="false">H14/G14</f>
        <v>0.623684709525023</v>
      </c>
    </row>
    <row r="15" customFormat="false" ht="15" hidden="false" customHeight="true" outlineLevel="0" collapsed="false">
      <c r="A15" s="26" t="s">
        <v>52</v>
      </c>
      <c r="B15" s="27" t="n">
        <f aca="false">'Package Costing'!G293</f>
        <v>749.575431339576</v>
      </c>
      <c r="C15" s="27" t="n">
        <f aca="false">'Package Costing'!G294</f>
        <v>22000</v>
      </c>
      <c r="D15" s="28" t="n">
        <f aca="false">C15-B15</f>
        <v>21250.4245686604</v>
      </c>
      <c r="E15" s="29" t="n">
        <f aca="false">D15/C15</f>
        <v>0.965928389484565</v>
      </c>
      <c r="F15" s="27" t="n">
        <f aca="false">'Package Costing'!H293</f>
        <v>974.448060741449</v>
      </c>
      <c r="G15" s="27" t="n">
        <f aca="false">'Package Costing'!H294</f>
        <v>28000</v>
      </c>
      <c r="H15" s="28" t="n">
        <f aca="false">G15-F15</f>
        <v>27025.5519392586</v>
      </c>
      <c r="I15" s="29" t="n">
        <f aca="false">H15/G15</f>
        <v>0.965198283544948</v>
      </c>
    </row>
    <row r="16" customFormat="false" ht="15" hidden="false" customHeight="true" outlineLevel="0" collapsed="false">
      <c r="A16" s="26" t="s">
        <v>53</v>
      </c>
      <c r="B16" s="27" t="n">
        <f aca="false">'Package Costing'!G411</f>
        <v>31560.1833928416</v>
      </c>
      <c r="C16" s="27" t="n">
        <f aca="false">'Package Costing'!G412</f>
        <v>65000</v>
      </c>
      <c r="D16" s="28" t="n">
        <f aca="false">C16-B16</f>
        <v>33439.8166071584</v>
      </c>
      <c r="E16" s="29" t="n">
        <f aca="false">D16/C16</f>
        <v>0.514458717033207</v>
      </c>
      <c r="F16" s="27" t="n">
        <f aca="false">'Package Costing'!H411</f>
        <v>41028.238410694</v>
      </c>
      <c r="G16" s="27" t="n">
        <f aca="false">'Package Costing'!H412</f>
        <v>80000</v>
      </c>
      <c r="H16" s="28" t="n">
        <f aca="false">G16-F16</f>
        <v>38971.761589306</v>
      </c>
      <c r="I16" s="29" t="n">
        <f aca="false">H16/G16</f>
        <v>0.487147019866324</v>
      </c>
    </row>
    <row r="17" customFormat="false" ht="15" hidden="false" customHeight="true" outlineLevel="0" collapsed="false">
      <c r="A17" s="26" t="s">
        <v>54</v>
      </c>
      <c r="B17" s="27" t="n">
        <f aca="false">'Package Costing'!G442</f>
        <v>68831.4001688421</v>
      </c>
      <c r="C17" s="27" t="n">
        <f aca="false">'Package Costing'!G443</f>
        <v>110000</v>
      </c>
      <c r="D17" s="28" t="n">
        <f aca="false">C17-B17</f>
        <v>41168.5998311579</v>
      </c>
      <c r="E17" s="29" t="n">
        <f aca="false">D17/C17</f>
        <v>0.374259998465072</v>
      </c>
      <c r="F17" s="27" t="n">
        <f aca="false">'Package Costing'!H442</f>
        <v>89480.8202194947</v>
      </c>
      <c r="G17" s="27" t="n">
        <f aca="false">'Package Costing'!H443</f>
        <v>135000</v>
      </c>
      <c r="H17" s="28" t="n">
        <f aca="false">G17-F17</f>
        <v>45519.1797805053</v>
      </c>
      <c r="I17" s="29" t="n">
        <f aca="false">H17/G17</f>
        <v>0.337179109485224</v>
      </c>
    </row>
    <row r="18" customFormat="false" ht="15" hidden="false" customHeight="true" outlineLevel="0" collapsed="false">
      <c r="A18" s="26" t="s">
        <v>55</v>
      </c>
      <c r="B18" s="27" t="n">
        <f aca="false">'Package Costing'!G346</f>
        <v>4467.46848980186</v>
      </c>
      <c r="C18" s="27" t="n">
        <f aca="false">'Package Costing'!G347</f>
        <v>45000</v>
      </c>
      <c r="D18" s="28" t="n">
        <f aca="false">C18-B18</f>
        <v>40532.5315101981</v>
      </c>
      <c r="E18" s="29" t="n">
        <f aca="false">D18/C18</f>
        <v>0.900722922448848</v>
      </c>
      <c r="F18" s="27" t="n">
        <f aca="false">'Package Costing'!H346</f>
        <v>5807.70903674242</v>
      </c>
      <c r="G18" s="27" t="n">
        <f aca="false">'Package Costing'!H347</f>
        <v>55000</v>
      </c>
      <c r="H18" s="28" t="n">
        <f aca="false">G18-F18</f>
        <v>49192.2909632576</v>
      </c>
      <c r="I18" s="29" t="n">
        <f aca="false">H18/G18</f>
        <v>0.894405290241047</v>
      </c>
    </row>
    <row r="19" customFormat="false" ht="27.75" hidden="false" customHeight="true" outlineLevel="0" collapsed="false">
      <c r="A19" s="26" t="s">
        <v>56</v>
      </c>
      <c r="B19" s="27" t="n">
        <f aca="false">'Package Costing'!G455</f>
        <v>1737.96543670337</v>
      </c>
      <c r="C19" s="27" t="n">
        <f aca="false">'Package Costing'!G456</f>
        <v>3500</v>
      </c>
      <c r="D19" s="28" t="n">
        <f aca="false">C19-B19</f>
        <v>1762.03456329663</v>
      </c>
      <c r="E19" s="29" t="n">
        <f aca="false">D19/C19</f>
        <v>0.503438446656181</v>
      </c>
      <c r="F19" s="27" t="n">
        <f aca="false">'Package Costing'!H455</f>
        <v>2259.35506771438</v>
      </c>
      <c r="G19" s="27" t="n">
        <f aca="false">'Package Costing'!H456</f>
        <v>4500</v>
      </c>
      <c r="H19" s="28" t="n">
        <f aca="false">G19-F19</f>
        <v>2240.64493228562</v>
      </c>
      <c r="I19" s="29" t="n">
        <f aca="false">H19/G19</f>
        <v>0.497921096063472</v>
      </c>
    </row>
    <row r="20" customFormat="false" ht="15" hidden="false" customHeight="true" outlineLevel="0" collapsed="false"/>
    <row r="21" customFormat="false" ht="23.25" hidden="false" customHeight="true" outlineLevel="0" collapsed="false">
      <c r="A21" s="22" t="s">
        <v>57</v>
      </c>
      <c r="B21" s="23"/>
      <c r="C21" s="23"/>
      <c r="D21" s="23"/>
      <c r="E21" s="23"/>
      <c r="F21" s="23"/>
      <c r="G21" s="23"/>
      <c r="H21" s="23"/>
      <c r="I21" s="23"/>
    </row>
    <row r="22" customFormat="false" ht="15" hidden="false" customHeight="true" outlineLevel="0" collapsed="false">
      <c r="A22" s="24" t="s">
        <v>36</v>
      </c>
      <c r="B22" s="25" t="s">
        <v>37</v>
      </c>
      <c r="C22" s="25" t="s">
        <v>38</v>
      </c>
      <c r="D22" s="25"/>
      <c r="E22" s="25"/>
      <c r="F22" s="25" t="s">
        <v>41</v>
      </c>
      <c r="G22" s="25" t="s">
        <v>42</v>
      </c>
      <c r="H22" s="25"/>
      <c r="I22" s="25"/>
    </row>
    <row r="23" customFormat="false" ht="27.75" hidden="false" customHeight="true" outlineLevel="0" collapsed="false">
      <c r="A23" s="26" t="s">
        <v>58</v>
      </c>
      <c r="B23" s="27" t="n">
        <f aca="false">'Package Costing'!G380</f>
        <v>1758.7200751708</v>
      </c>
      <c r="C23" s="27" t="n">
        <f aca="false">'Package Costing'!G381</f>
        <v>11700</v>
      </c>
      <c r="D23" s="28" t="n">
        <f aca="false">C23-B23</f>
        <v>9941.2799248292</v>
      </c>
      <c r="E23" s="29" t="n">
        <f aca="false">D23/C23</f>
        <v>0.849682044857197</v>
      </c>
      <c r="F23" s="27" t="n">
        <f aca="false">'Package Costing'!H380</f>
        <v>2286.33609772204</v>
      </c>
      <c r="G23" s="27" t="n">
        <f aca="false">'Package Costing'!H381</f>
        <v>15100</v>
      </c>
      <c r="H23" s="28" t="n">
        <f aca="false">G23-F23</f>
        <v>12813.663902278</v>
      </c>
      <c r="I23" s="29" t="n">
        <f aca="false">H23/G23</f>
        <v>0.848587013395891</v>
      </c>
    </row>
    <row r="24" customFormat="false" ht="15" hidden="false" customHeight="true" outlineLevel="0" collapsed="false">
      <c r="A24" s="26" t="s">
        <v>59</v>
      </c>
      <c r="B24" s="27" t="n">
        <f aca="false">'Package Costing'!G532</f>
        <v>1477.988228206</v>
      </c>
      <c r="C24" s="27" t="n">
        <f aca="false">'Package Costing'!G533</f>
        <v>11700</v>
      </c>
      <c r="D24" s="28" t="n">
        <f aca="false">C24-B24</f>
        <v>10222.011771794</v>
      </c>
      <c r="E24" s="29" t="n">
        <f aca="false">D24/C24</f>
        <v>0.873676219811453</v>
      </c>
      <c r="F24" s="27" t="n">
        <f aca="false">'Package Costing'!H532</f>
        <v>1921.3846966678</v>
      </c>
      <c r="G24" s="27" t="n">
        <f aca="false">'Package Costing'!H533</f>
        <v>15100</v>
      </c>
      <c r="H24" s="28" t="n">
        <f aca="false">G24-F24</f>
        <v>13178.6153033322</v>
      </c>
      <c r="I24" s="29" t="n">
        <f aca="false">H24/G24</f>
        <v>0.872755980353126</v>
      </c>
    </row>
    <row r="25" customFormat="false" ht="23.25" hidden="false" customHeight="true" outlineLevel="0" collapsed="false"/>
    <row r="26" customFormat="false" ht="15" hidden="false" customHeight="true" outlineLevel="0" collapsed="false">
      <c r="A26" s="22" t="s">
        <v>60</v>
      </c>
      <c r="B26" s="23"/>
      <c r="C26" s="23"/>
      <c r="D26" s="23"/>
      <c r="E26" s="23"/>
      <c r="F26" s="23"/>
      <c r="G26" s="23"/>
      <c r="H26" s="23"/>
      <c r="I26" s="23"/>
    </row>
    <row r="27" customFormat="false" ht="15" hidden="false" customHeight="true" outlineLevel="0" collapsed="false">
      <c r="A27" s="24" t="s">
        <v>36</v>
      </c>
      <c r="B27" s="25" t="s">
        <v>37</v>
      </c>
      <c r="C27" s="25" t="s">
        <v>38</v>
      </c>
      <c r="D27" s="25" t="s">
        <v>39</v>
      </c>
      <c r="E27" s="25" t="s">
        <v>40</v>
      </c>
      <c r="F27" s="25" t="s">
        <v>41</v>
      </c>
      <c r="G27" s="25" t="s">
        <v>42</v>
      </c>
      <c r="H27" s="25" t="s">
        <v>43</v>
      </c>
      <c r="I27" s="25" t="s">
        <v>44</v>
      </c>
    </row>
    <row r="28" customFormat="false" ht="15" hidden="false" customHeight="true" outlineLevel="0" collapsed="false">
      <c r="A28" s="26" t="s">
        <v>61</v>
      </c>
      <c r="B28" s="30" t="n">
        <v>12405</v>
      </c>
      <c r="C28" s="30" t="n">
        <v>52000</v>
      </c>
      <c r="D28" s="28" t="n">
        <f aca="false">C28-B28</f>
        <v>39595</v>
      </c>
      <c r="E28" s="29" t="n">
        <f aca="false">D28/C28</f>
        <v>0.761442307692308</v>
      </c>
      <c r="F28" s="30" t="n">
        <v>12405</v>
      </c>
      <c r="G28" s="30" t="n">
        <v>52000</v>
      </c>
      <c r="H28" s="28" t="n">
        <f aca="false">G28-F28</f>
        <v>39595</v>
      </c>
      <c r="I28" s="29" t="n">
        <f aca="false">H28/G28</f>
        <v>0.761442307692308</v>
      </c>
    </row>
    <row r="29" customFormat="false" ht="15" hidden="false" customHeight="true" outlineLevel="0" collapsed="false">
      <c r="A29" s="26" t="s">
        <v>62</v>
      </c>
      <c r="B29" s="30" t="n">
        <v>13447</v>
      </c>
      <c r="C29" s="30" t="n">
        <v>58000</v>
      </c>
      <c r="D29" s="28" t="n">
        <f aca="false">C29-B29</f>
        <v>44553</v>
      </c>
      <c r="E29" s="29" t="n">
        <f aca="false">D29/C29</f>
        <v>0.768155172413793</v>
      </c>
      <c r="F29" s="30" t="n">
        <v>13447</v>
      </c>
      <c r="G29" s="30" t="n">
        <v>58000</v>
      </c>
      <c r="H29" s="28" t="n">
        <f aca="false">G29-F29</f>
        <v>44553</v>
      </c>
      <c r="I29" s="29" t="n">
        <f aca="false">H29/G29</f>
        <v>0.768155172413793</v>
      </c>
    </row>
    <row r="30" customFormat="false" ht="15" hidden="false" customHeight="true" outlineLevel="0" collapsed="false">
      <c r="A30" s="26" t="s">
        <v>63</v>
      </c>
      <c r="B30" s="30" t="n">
        <v>13933</v>
      </c>
      <c r="C30" s="30" t="n">
        <v>62000</v>
      </c>
      <c r="D30" s="28" t="n">
        <f aca="false">C30-B30</f>
        <v>48067</v>
      </c>
      <c r="E30" s="29" t="n">
        <f aca="false">D30/C30</f>
        <v>0.775274193548387</v>
      </c>
      <c r="F30" s="30" t="n">
        <v>13933</v>
      </c>
      <c r="G30" s="30" t="n">
        <v>62000</v>
      </c>
      <c r="H30" s="28" t="n">
        <f aca="false">G30-F30</f>
        <v>48067</v>
      </c>
      <c r="I30" s="29" t="n">
        <f aca="false">H30/G30</f>
        <v>0.775274193548387</v>
      </c>
    </row>
    <row r="31" customFormat="false" ht="15" hidden="false" customHeight="true" outlineLevel="0" collapsed="false">
      <c r="A31" s="26" t="s">
        <v>64</v>
      </c>
      <c r="B31" s="30" t="n">
        <v>27055</v>
      </c>
      <c r="C31" s="30" t="n">
        <v>100000</v>
      </c>
      <c r="D31" s="28" t="n">
        <f aca="false">C31-B31</f>
        <v>72945</v>
      </c>
      <c r="E31" s="29" t="n">
        <f aca="false">D31/C31</f>
        <v>0.72945</v>
      </c>
      <c r="F31" s="30" t="n">
        <v>27055</v>
      </c>
      <c r="G31" s="30" t="n">
        <v>125000</v>
      </c>
      <c r="H31" s="28" t="n">
        <f aca="false">G31-F31</f>
        <v>97945</v>
      </c>
      <c r="I31" s="29" t="n">
        <f aca="false">H31/G31</f>
        <v>0.78356</v>
      </c>
    </row>
    <row r="32" customFormat="false" ht="15" hidden="false" customHeight="true" outlineLevel="0" collapsed="false">
      <c r="A32" s="26" t="s">
        <v>65</v>
      </c>
      <c r="B32" s="30" t="n">
        <v>29313</v>
      </c>
      <c r="C32" s="30" t="n">
        <v>140000</v>
      </c>
      <c r="D32" s="28" t="n">
        <f aca="false">C32-B32</f>
        <v>110687</v>
      </c>
      <c r="E32" s="29" t="n">
        <f aca="false">D32/C32</f>
        <v>0.790621428571429</v>
      </c>
      <c r="F32" s="30" t="n">
        <v>29313</v>
      </c>
      <c r="G32" s="30" t="n">
        <v>170000</v>
      </c>
      <c r="H32" s="28" t="n">
        <f aca="false">G32-F32</f>
        <v>140687</v>
      </c>
      <c r="I32" s="29" t="n">
        <f aca="false">H32/G32</f>
        <v>0.827570588235294</v>
      </c>
    </row>
    <row r="33" customFormat="false" ht="15" hidden="false" customHeight="true" outlineLevel="0" collapsed="false">
      <c r="A33" s="26" t="s">
        <v>66</v>
      </c>
      <c r="B33" s="30" t="n">
        <v>30366</v>
      </c>
      <c r="C33" s="30" t="n">
        <v>150000</v>
      </c>
      <c r="D33" s="28" t="n">
        <f aca="false">C33-B33</f>
        <v>119634</v>
      </c>
      <c r="E33" s="29" t="n">
        <f aca="false">D33/C33</f>
        <v>0.79756</v>
      </c>
      <c r="F33" s="30" t="n">
        <v>30366</v>
      </c>
      <c r="G33" s="30" t="n">
        <v>180000</v>
      </c>
      <c r="H33" s="28" t="n">
        <f aca="false">G33-F33</f>
        <v>149634</v>
      </c>
      <c r="I33" s="29" t="n">
        <f aca="false">H33/G33</f>
        <v>0.8313</v>
      </c>
    </row>
    <row r="34" customFormat="false" ht="15" hidden="false" customHeight="true" outlineLevel="0" collapsed="false">
      <c r="A34" s="26" t="s">
        <v>67</v>
      </c>
      <c r="B34" s="30" t="n">
        <v>85711</v>
      </c>
      <c r="C34" s="30" t="n">
        <v>180000</v>
      </c>
      <c r="D34" s="28" t="n">
        <f aca="false">C34-B34</f>
        <v>94289</v>
      </c>
      <c r="E34" s="29" t="n">
        <f aca="false">D34/C34</f>
        <v>0.523827777777778</v>
      </c>
      <c r="F34" s="30" t="n">
        <v>85711</v>
      </c>
      <c r="G34" s="30" t="n">
        <v>220000</v>
      </c>
      <c r="H34" s="28" t="n">
        <f aca="false">G34-F34</f>
        <v>134289</v>
      </c>
      <c r="I34" s="29" t="n">
        <f aca="false">H34/G34</f>
        <v>0.610404545454546</v>
      </c>
    </row>
    <row r="35" customFormat="false" ht="27.75" hidden="false" customHeight="true" outlineLevel="0" collapsed="false">
      <c r="A35" s="26" t="s">
        <v>68</v>
      </c>
      <c r="B35" s="30" t="n">
        <v>92311</v>
      </c>
      <c r="C35" s="30" t="n">
        <v>350000</v>
      </c>
      <c r="D35" s="28" t="n">
        <f aca="false">C35-B35</f>
        <v>257689</v>
      </c>
      <c r="E35" s="29" t="n">
        <f aca="false">D35/C35</f>
        <v>0.736254285714286</v>
      </c>
      <c r="F35" s="30" t="n">
        <v>92311</v>
      </c>
      <c r="G35" s="30" t="n">
        <v>420000</v>
      </c>
      <c r="H35" s="28" t="n">
        <f aca="false">G35-F35</f>
        <v>327689</v>
      </c>
      <c r="I35" s="29" t="n">
        <f aca="false">H35/G35</f>
        <v>0.780211904761905</v>
      </c>
    </row>
    <row r="36" customFormat="false" ht="15" hidden="false" customHeight="true" outlineLevel="0" collapsed="false">
      <c r="A36" s="26" t="s">
        <v>69</v>
      </c>
      <c r="B36" s="30" t="n">
        <v>95389</v>
      </c>
      <c r="C36" s="30" t="n">
        <v>370000</v>
      </c>
      <c r="D36" s="28" t="n">
        <f aca="false">C36-B36</f>
        <v>274611</v>
      </c>
      <c r="E36" s="29" t="n">
        <f aca="false">D36/C36</f>
        <v>0.742191891891892</v>
      </c>
      <c r="F36" s="30" t="n">
        <v>95389</v>
      </c>
      <c r="G36" s="30" t="n">
        <v>440000</v>
      </c>
      <c r="H36" s="28" t="n">
        <f aca="false">G36-F36</f>
        <v>344611</v>
      </c>
      <c r="I36" s="29" t="n">
        <f aca="false">H36/G36</f>
        <v>0.783206818181818</v>
      </c>
    </row>
    <row r="37" customFormat="false" ht="23.25" hidden="false" customHeight="true" outlineLevel="0" collapsed="false"/>
    <row r="38" customFormat="false" ht="15" hidden="false" customHeight="true" outlineLevel="0" collapsed="false">
      <c r="A38" s="22" t="s">
        <v>70</v>
      </c>
      <c r="B38" s="23"/>
      <c r="C38" s="23"/>
      <c r="D38" s="23"/>
      <c r="E38" s="23"/>
      <c r="F38" s="23"/>
      <c r="G38" s="23"/>
      <c r="H38" s="23"/>
      <c r="I38" s="23"/>
    </row>
    <row r="39" customFormat="false" ht="15" hidden="false" customHeight="true" outlineLevel="0" collapsed="false">
      <c r="A39" s="24" t="s">
        <v>36</v>
      </c>
      <c r="B39" s="25" t="s">
        <v>37</v>
      </c>
      <c r="C39" s="25" t="s">
        <v>38</v>
      </c>
      <c r="D39" s="25" t="s">
        <v>39</v>
      </c>
      <c r="E39" s="25" t="s">
        <v>40</v>
      </c>
      <c r="F39" s="25" t="s">
        <v>41</v>
      </c>
      <c r="G39" s="25" t="s">
        <v>42</v>
      </c>
      <c r="H39" s="25" t="s">
        <v>43</v>
      </c>
      <c r="I39" s="25" t="s">
        <v>44</v>
      </c>
    </row>
    <row r="40" customFormat="false" ht="15" hidden="false" customHeight="true" outlineLevel="0" collapsed="false">
      <c r="A40" s="26" t="s">
        <v>71</v>
      </c>
      <c r="B40" s="30" t="n">
        <v>8091</v>
      </c>
      <c r="C40" s="30" t="n">
        <v>25000</v>
      </c>
      <c r="D40" s="28" t="n">
        <f aca="false">C40-B40</f>
        <v>16909</v>
      </c>
      <c r="E40" s="29" t="n">
        <f aca="false">D40/C40</f>
        <v>0.67636</v>
      </c>
      <c r="F40" s="30" t="n">
        <v>8091</v>
      </c>
      <c r="G40" s="30" t="n">
        <v>27500</v>
      </c>
      <c r="H40" s="28" t="n">
        <f aca="false">G40-F40</f>
        <v>19409</v>
      </c>
      <c r="I40" s="29" t="n">
        <f aca="false">H40/G40</f>
        <v>0.705781818181818</v>
      </c>
    </row>
    <row r="41" customFormat="false" ht="15" hidden="false" customHeight="true" outlineLevel="0" collapsed="false">
      <c r="A41" s="26" t="s">
        <v>72</v>
      </c>
      <c r="B41" s="30" t="n">
        <v>8911</v>
      </c>
      <c r="C41" s="30" t="n">
        <v>55000</v>
      </c>
      <c r="D41" s="28" t="n">
        <f aca="false">C41-B41</f>
        <v>46089</v>
      </c>
      <c r="E41" s="29" t="n">
        <f aca="false">D41/C41</f>
        <v>0.837981818181818</v>
      </c>
      <c r="F41" s="30" t="n">
        <v>8911</v>
      </c>
      <c r="G41" s="30" t="n">
        <v>59000</v>
      </c>
      <c r="H41" s="28" t="n">
        <f aca="false">G41-F41</f>
        <v>50089</v>
      </c>
      <c r="I41" s="29" t="n">
        <f aca="false">H41/G41</f>
        <v>0.848966101694915</v>
      </c>
    </row>
    <row r="42" customFormat="false" ht="15" hidden="false" customHeight="true" outlineLevel="0" collapsed="false">
      <c r="A42" s="26" t="s">
        <v>73</v>
      </c>
      <c r="B42" s="30" t="n">
        <v>8911</v>
      </c>
      <c r="C42" s="30" t="n">
        <v>72000</v>
      </c>
      <c r="D42" s="28" t="n">
        <f aca="false">C42-B42</f>
        <v>63089</v>
      </c>
      <c r="E42" s="29" t="n">
        <f aca="false">D42/C42</f>
        <v>0.876236111111111</v>
      </c>
      <c r="F42" s="30" t="n">
        <v>8911</v>
      </c>
      <c r="G42" s="30" t="n">
        <v>77000</v>
      </c>
      <c r="H42" s="28" t="n">
        <f aca="false">G42-F42</f>
        <v>68089</v>
      </c>
      <c r="I42" s="29" t="n">
        <f aca="false">H42/G42</f>
        <v>0.884272727272727</v>
      </c>
    </row>
    <row r="43" customFormat="false" ht="15" hidden="false" customHeight="true" outlineLevel="0" collapsed="false">
      <c r="A43" s="26" t="s">
        <v>74</v>
      </c>
      <c r="B43" s="30" t="n">
        <v>5185</v>
      </c>
      <c r="C43" s="30" t="n">
        <v>18000</v>
      </c>
      <c r="D43" s="28" t="n">
        <f aca="false">C43-B43</f>
        <v>12815</v>
      </c>
      <c r="E43" s="29" t="n">
        <f aca="false">D43/C43</f>
        <v>0.711944444444445</v>
      </c>
      <c r="F43" s="30" t="n">
        <v>5185</v>
      </c>
      <c r="G43" s="30" t="n">
        <v>20000</v>
      </c>
      <c r="H43" s="28" t="n">
        <f aca="false">G43-F43</f>
        <v>14815</v>
      </c>
      <c r="I43" s="29" t="n">
        <f aca="false">H43/G43</f>
        <v>0.74075</v>
      </c>
    </row>
    <row r="44" customFormat="false" ht="15" hidden="false" customHeight="true" outlineLevel="0" collapsed="false">
      <c r="A44" s="26" t="s">
        <v>75</v>
      </c>
      <c r="B44" s="30" t="n">
        <v>5753</v>
      </c>
      <c r="C44" s="30" t="n">
        <v>39000</v>
      </c>
      <c r="D44" s="28" t="n">
        <f aca="false">C44-B44</f>
        <v>33247</v>
      </c>
      <c r="E44" s="29" t="n">
        <f aca="false">D44/C44</f>
        <v>0.852487179487179</v>
      </c>
      <c r="F44" s="30" t="n">
        <v>5753</v>
      </c>
      <c r="G44" s="30" t="n">
        <v>42000</v>
      </c>
      <c r="H44" s="28" t="n">
        <f aca="false">G44-F44</f>
        <v>36247</v>
      </c>
      <c r="I44" s="29" t="n">
        <f aca="false">H44/G44</f>
        <v>0.86302380952381</v>
      </c>
    </row>
    <row r="45" customFormat="false" ht="15" hidden="false" customHeight="true" outlineLevel="0" collapsed="false">
      <c r="A45" s="26" t="s">
        <v>76</v>
      </c>
      <c r="B45" s="30" t="n">
        <v>5753</v>
      </c>
      <c r="C45" s="30" t="n">
        <v>51500</v>
      </c>
      <c r="D45" s="28" t="n">
        <f aca="false">C45-B45</f>
        <v>45747</v>
      </c>
      <c r="E45" s="29" t="n">
        <f aca="false">D45/C45</f>
        <v>0.888291262135922</v>
      </c>
      <c r="F45" s="30" t="n">
        <v>5753</v>
      </c>
      <c r="G45" s="30" t="n">
        <v>55000</v>
      </c>
      <c r="H45" s="28" t="n">
        <f aca="false">G45-F45</f>
        <v>49247</v>
      </c>
      <c r="I45" s="29" t="n">
        <f aca="false">H45/G45</f>
        <v>0.8954</v>
      </c>
    </row>
    <row r="46" customFormat="false" ht="15" hidden="false" customHeight="true" outlineLevel="0" collapsed="false">
      <c r="A46" s="26" t="s">
        <v>77</v>
      </c>
      <c r="B46" s="30" t="n">
        <v>2792</v>
      </c>
      <c r="C46" s="30" t="n">
        <v>7000</v>
      </c>
      <c r="D46" s="28" t="n">
        <f aca="false">C46-B46</f>
        <v>4208</v>
      </c>
      <c r="E46" s="29" t="n">
        <f aca="false">D46/C46</f>
        <v>0.601142857142857</v>
      </c>
      <c r="F46" s="30" t="n">
        <v>2792</v>
      </c>
      <c r="G46" s="30" t="n">
        <v>8000</v>
      </c>
      <c r="H46" s="28" t="n">
        <f aca="false">G46-F46</f>
        <v>5208</v>
      </c>
      <c r="I46" s="29" t="n">
        <f aca="false">H46/G46</f>
        <v>0.651</v>
      </c>
    </row>
    <row r="47" customFormat="false" ht="15" hidden="false" customHeight="true" outlineLevel="0" collapsed="false">
      <c r="A47" s="26" t="s">
        <v>78</v>
      </c>
      <c r="B47" s="30" t="n">
        <v>3019</v>
      </c>
      <c r="C47" s="30" t="n">
        <v>16000</v>
      </c>
      <c r="D47" s="28" t="n">
        <f aca="false">C47-B47</f>
        <v>12981</v>
      </c>
      <c r="E47" s="29" t="n">
        <f aca="false">D47/C47</f>
        <v>0.8113125</v>
      </c>
      <c r="F47" s="30" t="n">
        <v>3019</v>
      </c>
      <c r="G47" s="30" t="n">
        <v>17000</v>
      </c>
      <c r="H47" s="28" t="n">
        <f aca="false">G47-F47</f>
        <v>13981</v>
      </c>
      <c r="I47" s="29" t="n">
        <f aca="false">H47/G47</f>
        <v>0.822411764705882</v>
      </c>
    </row>
    <row r="48" customFormat="false" ht="15" hidden="false" customHeight="true" outlineLevel="0" collapsed="false">
      <c r="A48" s="26" t="s">
        <v>79</v>
      </c>
      <c r="B48" s="30" t="n">
        <v>3019</v>
      </c>
      <c r="C48" s="30" t="n">
        <v>20500</v>
      </c>
      <c r="D48" s="28" t="n">
        <f aca="false">C48-B48</f>
        <v>17481</v>
      </c>
      <c r="E48" s="29" t="n">
        <f aca="false">D48/C48</f>
        <v>0.852731707317073</v>
      </c>
      <c r="F48" s="30" t="n">
        <v>3019</v>
      </c>
      <c r="G48" s="30" t="n">
        <v>22000</v>
      </c>
      <c r="H48" s="28" t="n">
        <f aca="false">G48-F48</f>
        <v>18981</v>
      </c>
      <c r="I48" s="29" t="n">
        <f aca="false">H48/G48</f>
        <v>0.862772727272727</v>
      </c>
    </row>
    <row r="49" customFormat="false" ht="15" hidden="false" customHeight="true" outlineLevel="0" collapsed="false"/>
    <row r="50" customFormat="false" ht="15" hidden="false" customHeight="true" outlineLevel="0" collapsed="false"/>
    <row r="51" customFormat="false" ht="27.75" hidden="false" customHeight="true" outlineLevel="0" collapsed="false">
      <c r="A51" s="22" t="s">
        <v>80</v>
      </c>
      <c r="B51" s="23"/>
      <c r="C51" s="23"/>
      <c r="D51" s="23"/>
      <c r="E51" s="23"/>
      <c r="F51" s="23"/>
      <c r="G51" s="23"/>
    </row>
    <row r="52" customFormat="false" ht="27.75" hidden="false" customHeight="true" outlineLevel="0" collapsed="false">
      <c r="A52" s="21" t="s">
        <v>81</v>
      </c>
      <c r="B52" s="21"/>
      <c r="C52" s="21"/>
      <c r="D52" s="21"/>
      <c r="E52" s="21"/>
      <c r="F52" s="21"/>
      <c r="G52" s="21"/>
    </row>
    <row r="53" customFormat="false" ht="15" hidden="false" customHeight="true" outlineLevel="0" collapsed="false">
      <c r="A53" s="26" t="s">
        <v>82</v>
      </c>
      <c r="B53" s="31" t="n">
        <v>0.08</v>
      </c>
      <c r="C53" s="26" t="s">
        <v>83</v>
      </c>
      <c r="D53" s="31" t="n">
        <v>0.18</v>
      </c>
    </row>
    <row r="54" customFormat="false" ht="27.75" hidden="false" customHeight="true" outlineLevel="0" collapsed="false">
      <c r="A54" s="24" t="s">
        <v>84</v>
      </c>
      <c r="B54" s="25" t="s">
        <v>85</v>
      </c>
      <c r="C54" s="25" t="s">
        <v>86</v>
      </c>
      <c r="D54" s="25" t="s">
        <v>87</v>
      </c>
      <c r="E54" s="25" t="s">
        <v>88</v>
      </c>
      <c r="F54" s="25" t="s">
        <v>89</v>
      </c>
      <c r="G54" s="25" t="s">
        <v>90</v>
      </c>
    </row>
    <row r="55" customFormat="false" ht="15" hidden="false" customHeight="true" outlineLevel="0" collapsed="false">
      <c r="A55" s="26" t="s">
        <v>45</v>
      </c>
      <c r="B55" s="27" t="n">
        <f aca="false">C6</f>
        <v>5000</v>
      </c>
      <c r="C55" s="27" t="n">
        <f aca="false">G6</f>
        <v>7000</v>
      </c>
      <c r="D55" s="28" t="n">
        <f aca="false">B55*(1-B53)</f>
        <v>4600</v>
      </c>
      <c r="E55" s="28" t="n">
        <f aca="false">C55*(1-B53)</f>
        <v>6440</v>
      </c>
      <c r="F55" s="28" t="n">
        <f aca="false">B55*(1-D53)</f>
        <v>4100</v>
      </c>
      <c r="G55" s="28" t="n">
        <f aca="false">C55*(1-D53)</f>
        <v>5740</v>
      </c>
    </row>
    <row r="56" customFormat="false" ht="15" hidden="false" customHeight="true" outlineLevel="0" collapsed="false">
      <c r="A56" s="26" t="s">
        <v>46</v>
      </c>
      <c r="B56" s="27" t="n">
        <f aca="false">C7</f>
        <v>18000</v>
      </c>
      <c r="C56" s="27" t="n">
        <f aca="false">G7</f>
        <v>22000</v>
      </c>
      <c r="D56" s="28" t="n">
        <f aca="false">B56*(1-B53)</f>
        <v>16560</v>
      </c>
      <c r="E56" s="28" t="n">
        <f aca="false">C56*(1-B53)</f>
        <v>20240</v>
      </c>
      <c r="F56" s="28" t="n">
        <f aca="false">B56*(1-D53)</f>
        <v>14760</v>
      </c>
      <c r="G56" s="28" t="n">
        <f aca="false">C56*(1-D53)</f>
        <v>18040</v>
      </c>
    </row>
    <row r="57" customFormat="false" ht="15" hidden="false" customHeight="true" outlineLevel="0" collapsed="false">
      <c r="A57" s="26" t="s">
        <v>47</v>
      </c>
      <c r="B57" s="27" t="n">
        <f aca="false">C8</f>
        <v>40000</v>
      </c>
      <c r="C57" s="27" t="n">
        <f aca="false">G8</f>
        <v>50000</v>
      </c>
      <c r="D57" s="28" t="n">
        <f aca="false">B57*(1-B53)</f>
        <v>36800</v>
      </c>
      <c r="E57" s="28" t="n">
        <f aca="false">C57*(1-B53)</f>
        <v>46000</v>
      </c>
      <c r="F57" s="28" t="n">
        <f aca="false">B57*(1-D53)</f>
        <v>32800</v>
      </c>
      <c r="G57" s="28" t="n">
        <f aca="false">C57*(1-D53)</f>
        <v>41000</v>
      </c>
    </row>
    <row r="58" customFormat="false" ht="15" hidden="false" customHeight="true" outlineLevel="0" collapsed="false">
      <c r="A58" s="26" t="s">
        <v>48</v>
      </c>
      <c r="B58" s="27" t="n">
        <f aca="false">C9</f>
        <v>90000</v>
      </c>
      <c r="C58" s="27" t="n">
        <f aca="false">G9</f>
        <v>110000</v>
      </c>
      <c r="D58" s="28" t="n">
        <f aca="false">B58*(1-B53)</f>
        <v>82800</v>
      </c>
      <c r="E58" s="28" t="n">
        <f aca="false">C58*(1-B53)</f>
        <v>101200</v>
      </c>
      <c r="F58" s="28" t="n">
        <f aca="false">B58*(1-D53)</f>
        <v>73800</v>
      </c>
      <c r="G58" s="28" t="n">
        <f aca="false">C58*(1-D53)</f>
        <v>90200</v>
      </c>
    </row>
    <row r="59" customFormat="false" ht="15" hidden="false" customHeight="true" outlineLevel="0" collapsed="false">
      <c r="A59" s="26" t="s">
        <v>49</v>
      </c>
      <c r="B59" s="27" t="n">
        <f aca="false">C10</f>
        <v>150000</v>
      </c>
      <c r="C59" s="27" t="n">
        <f aca="false">G10</f>
        <v>180000</v>
      </c>
      <c r="D59" s="28" t="n">
        <f aca="false">B59*(1-B53)</f>
        <v>138000</v>
      </c>
      <c r="E59" s="28" t="n">
        <f aca="false">C59*(1-B53)</f>
        <v>165600</v>
      </c>
      <c r="F59" s="28" t="n">
        <f aca="false">B59*(1-D53)</f>
        <v>123000</v>
      </c>
      <c r="G59" s="28" t="n">
        <f aca="false">C59*(1-D53)</f>
        <v>147600</v>
      </c>
    </row>
    <row r="60" customFormat="false" ht="15" hidden="false" customHeight="true" outlineLevel="0" collapsed="false">
      <c r="A60" s="26" t="s">
        <v>51</v>
      </c>
      <c r="B60" s="27" t="n">
        <f aca="false">C14</f>
        <v>10000</v>
      </c>
      <c r="C60" s="27" t="n">
        <f aca="false">G14</f>
        <v>12000</v>
      </c>
      <c r="D60" s="28" t="n">
        <f aca="false">B60*(1-B53)</f>
        <v>9200</v>
      </c>
      <c r="E60" s="28" t="n">
        <f aca="false">C60*(1-B53)</f>
        <v>11040</v>
      </c>
      <c r="F60" s="28" t="n">
        <f aca="false">B60*(1-D53)</f>
        <v>8200</v>
      </c>
      <c r="G60" s="28" t="n">
        <f aca="false">C60*(1-D53)</f>
        <v>9840</v>
      </c>
    </row>
    <row r="61" customFormat="false" ht="15" hidden="false" customHeight="true" outlineLevel="0" collapsed="false">
      <c r="A61" s="26" t="s">
        <v>52</v>
      </c>
      <c r="B61" s="27" t="n">
        <f aca="false">C15</f>
        <v>22000</v>
      </c>
      <c r="C61" s="27" t="n">
        <f aca="false">G15</f>
        <v>28000</v>
      </c>
      <c r="D61" s="28" t="n">
        <f aca="false">B61*(1-B53)</f>
        <v>20240</v>
      </c>
      <c r="E61" s="28" t="n">
        <f aca="false">C61*(1-B53)</f>
        <v>25760</v>
      </c>
      <c r="F61" s="28" t="n">
        <f aca="false">B61*(1-D53)</f>
        <v>18040</v>
      </c>
      <c r="G61" s="28" t="n">
        <f aca="false">C61*(1-D53)</f>
        <v>22960</v>
      </c>
    </row>
    <row r="62" customFormat="false" ht="15" hidden="false" customHeight="true" outlineLevel="0" collapsed="false">
      <c r="A62" s="26" t="s">
        <v>53</v>
      </c>
      <c r="B62" s="27" t="n">
        <f aca="false">C16</f>
        <v>65000</v>
      </c>
      <c r="C62" s="27" t="n">
        <f aca="false">G16</f>
        <v>80000</v>
      </c>
      <c r="D62" s="28" t="n">
        <f aca="false">B62*(1-B53)</f>
        <v>59800</v>
      </c>
      <c r="E62" s="28" t="n">
        <f aca="false">C62*(1-B53)</f>
        <v>73600</v>
      </c>
      <c r="F62" s="28" t="n">
        <f aca="false">B62*(1-D53)</f>
        <v>53300</v>
      </c>
      <c r="G62" s="28" t="n">
        <f aca="false">C62*(1-D53)</f>
        <v>65600</v>
      </c>
    </row>
    <row r="63" customFormat="false" ht="23.25" hidden="false" customHeight="true" outlineLevel="0" collapsed="false">
      <c r="A63" s="26" t="s">
        <v>54</v>
      </c>
      <c r="B63" s="27" t="n">
        <f aca="false">C17</f>
        <v>110000</v>
      </c>
      <c r="C63" s="27" t="n">
        <f aca="false">G17</f>
        <v>135000</v>
      </c>
      <c r="D63" s="28" t="n">
        <f aca="false">B63*(1-B53)</f>
        <v>101200</v>
      </c>
      <c r="E63" s="28" t="n">
        <f aca="false">C63*(1-B53)</f>
        <v>124200</v>
      </c>
      <c r="F63" s="28" t="n">
        <f aca="false">B63*(1-D53)</f>
        <v>90200</v>
      </c>
      <c r="G63" s="28" t="n">
        <f aca="false">C63*(1-D53)</f>
        <v>110700</v>
      </c>
    </row>
    <row r="64" customFormat="false" ht="15" hidden="false" customHeight="true" outlineLevel="0" collapsed="false">
      <c r="A64" s="26" t="s">
        <v>55</v>
      </c>
      <c r="B64" s="27" t="n">
        <f aca="false">C18</f>
        <v>45000</v>
      </c>
      <c r="C64" s="27" t="n">
        <f aca="false">G18</f>
        <v>55000</v>
      </c>
      <c r="D64" s="28" t="n">
        <f aca="false">B64*(1-B53)</f>
        <v>41400</v>
      </c>
      <c r="E64" s="28" t="n">
        <f aca="false">C64*(1-B53)</f>
        <v>50600</v>
      </c>
      <c r="F64" s="28" t="n">
        <f aca="false">B64*(1-D53)</f>
        <v>36900</v>
      </c>
      <c r="G64" s="28" t="n">
        <f aca="false">C64*(1-D53)</f>
        <v>45100</v>
      </c>
    </row>
    <row r="65" customFormat="false" ht="15" hidden="false" customHeight="true" outlineLevel="0" collapsed="false">
      <c r="A65" s="26" t="s">
        <v>58</v>
      </c>
      <c r="B65" s="27" t="n">
        <f aca="false">C23</f>
        <v>11700</v>
      </c>
      <c r="C65" s="27" t="n">
        <f aca="false">G23</f>
        <v>15100</v>
      </c>
      <c r="D65" s="28" t="n">
        <f aca="false">B65*(1-B53)</f>
        <v>10764</v>
      </c>
      <c r="E65" s="28" t="n">
        <f aca="false">C65*(1-B53)</f>
        <v>13892</v>
      </c>
      <c r="F65" s="28" t="n">
        <f aca="false">B65*(1-D53)</f>
        <v>9594</v>
      </c>
      <c r="G65" s="28" t="n">
        <f aca="false">C65*(1-D53)</f>
        <v>12382</v>
      </c>
    </row>
    <row r="66" customFormat="false" ht="15" hidden="false" customHeight="true" outlineLevel="0" collapsed="false">
      <c r="A66" s="26" t="s">
        <v>59</v>
      </c>
      <c r="B66" s="27" t="n">
        <f aca="false">C24</f>
        <v>11700</v>
      </c>
      <c r="C66" s="27" t="n">
        <f aca="false">G24</f>
        <v>15100</v>
      </c>
      <c r="D66" s="28" t="n">
        <f aca="false">B66*(1-B53)</f>
        <v>10764</v>
      </c>
      <c r="E66" s="28" t="n">
        <f aca="false">C66*(1-B53)</f>
        <v>13892</v>
      </c>
      <c r="F66" s="28" t="n">
        <f aca="false">B66*(1-D53)</f>
        <v>9594</v>
      </c>
      <c r="G66" s="28" t="n">
        <f aca="false">C66*(1-D53)</f>
        <v>12382</v>
      </c>
    </row>
    <row r="67" customFormat="false" ht="27.75" hidden="false" customHeight="true" outlineLevel="0" collapsed="false">
      <c r="A67" s="32" t="s">
        <v>91</v>
      </c>
      <c r="B67" s="27" t="n">
        <f aca="false">C19</f>
        <v>3500</v>
      </c>
      <c r="C67" s="27" t="n">
        <f aca="false">G19</f>
        <v>4500</v>
      </c>
      <c r="D67" s="33" t="n">
        <f aca="false">C19</f>
        <v>3500</v>
      </c>
      <c r="E67" s="33" t="n">
        <f aca="false">G19</f>
        <v>4500</v>
      </c>
      <c r="F67" s="33" t="n">
        <f aca="false">C19</f>
        <v>3500</v>
      </c>
      <c r="G67" s="33" t="n">
        <f aca="false">G19</f>
        <v>4500</v>
      </c>
    </row>
    <row r="68" customFormat="false" ht="15" hidden="false" customHeight="true" outlineLevel="0" collapsed="false"/>
    <row r="69" customFormat="false" ht="27.75" hidden="false" customHeight="true" outlineLevel="0" collapsed="false">
      <c r="A69" s="22" t="s">
        <v>92</v>
      </c>
      <c r="B69" s="23"/>
      <c r="C69" s="23"/>
      <c r="D69" s="23"/>
      <c r="E69" s="23"/>
      <c r="F69" s="23"/>
      <c r="G69" s="23"/>
    </row>
    <row r="70" customFormat="false" ht="15" hidden="false" customHeight="true" outlineLevel="0" collapsed="false">
      <c r="A70" s="21" t="s">
        <v>93</v>
      </c>
      <c r="B70" s="21"/>
      <c r="C70" s="21"/>
      <c r="D70" s="21"/>
      <c r="E70" s="21"/>
      <c r="F70" s="21"/>
      <c r="G70" s="21"/>
    </row>
    <row r="71" customFormat="false" ht="27.75" hidden="false" customHeight="true" outlineLevel="0" collapsed="false">
      <c r="A71" s="26" t="s">
        <v>94</v>
      </c>
      <c r="B71" s="31" t="n">
        <v>0.2</v>
      </c>
      <c r="C71" s="26" t="s">
        <v>95</v>
      </c>
      <c r="D71" s="31" t="n">
        <v>0.35</v>
      </c>
    </row>
    <row r="72" customFormat="false" ht="27.75" hidden="false" customHeight="true" outlineLevel="0" collapsed="false">
      <c r="A72" s="24" t="s">
        <v>36</v>
      </c>
      <c r="B72" s="25" t="s">
        <v>85</v>
      </c>
      <c r="C72" s="25" t="s">
        <v>86</v>
      </c>
      <c r="D72" s="25" t="s">
        <v>96</v>
      </c>
      <c r="E72" s="25" t="s">
        <v>97</v>
      </c>
      <c r="F72" s="25" t="s">
        <v>98</v>
      </c>
      <c r="G72" s="25" t="s">
        <v>99</v>
      </c>
    </row>
    <row r="73" customFormat="false" ht="15" hidden="false" customHeight="true" outlineLevel="0" collapsed="false">
      <c r="A73" s="26" t="s">
        <v>45</v>
      </c>
      <c r="B73" s="27" t="n">
        <f aca="false">C6</f>
        <v>5000</v>
      </c>
      <c r="C73" s="27" t="n">
        <f aca="false">G6</f>
        <v>7000</v>
      </c>
      <c r="D73" s="28" t="n">
        <f aca="false">B73*(1-B71)</f>
        <v>4000</v>
      </c>
      <c r="E73" s="28" t="n">
        <f aca="false">C73*(1-B71)</f>
        <v>5600</v>
      </c>
      <c r="F73" s="28" t="n">
        <f aca="false">B73*(1-D71)</f>
        <v>3250</v>
      </c>
      <c r="G73" s="28" t="n">
        <f aca="false">C73*(1-D71)</f>
        <v>4550</v>
      </c>
    </row>
    <row r="74" customFormat="false" ht="15" hidden="false" customHeight="true" outlineLevel="0" collapsed="false">
      <c r="A74" s="26" t="s">
        <v>46</v>
      </c>
      <c r="B74" s="27" t="n">
        <f aca="false">C7</f>
        <v>18000</v>
      </c>
      <c r="C74" s="27" t="n">
        <f aca="false">G7</f>
        <v>22000</v>
      </c>
      <c r="D74" s="28" t="n">
        <f aca="false">B74*(1-B71)</f>
        <v>14400</v>
      </c>
      <c r="E74" s="28" t="n">
        <f aca="false">C74*(1-B71)</f>
        <v>17600</v>
      </c>
      <c r="F74" s="28" t="n">
        <f aca="false">B74*(1-D71)</f>
        <v>11700</v>
      </c>
      <c r="G74" s="28" t="n">
        <f aca="false">C74*(1-D71)</f>
        <v>14300</v>
      </c>
    </row>
    <row r="75" customFormat="false" ht="15" hidden="false" customHeight="true" outlineLevel="0" collapsed="false">
      <c r="A75" s="26" t="s">
        <v>47</v>
      </c>
      <c r="B75" s="27" t="n">
        <f aca="false">C8</f>
        <v>40000</v>
      </c>
      <c r="C75" s="27" t="n">
        <f aca="false">G8</f>
        <v>50000</v>
      </c>
      <c r="D75" s="28" t="n">
        <f aca="false">B75*(1-B71)</f>
        <v>32000</v>
      </c>
      <c r="E75" s="28" t="n">
        <f aca="false">C75*(1-B71)</f>
        <v>40000</v>
      </c>
      <c r="F75" s="28" t="n">
        <f aca="false">B75*(1-D71)</f>
        <v>26000</v>
      </c>
      <c r="G75" s="28" t="n">
        <f aca="false">C75*(1-D71)</f>
        <v>32500</v>
      </c>
    </row>
    <row r="76" customFormat="false" ht="15" hidden="false" customHeight="true" outlineLevel="0" collapsed="false">
      <c r="A76" s="26" t="s">
        <v>48</v>
      </c>
      <c r="B76" s="27" t="n">
        <f aca="false">C9</f>
        <v>90000</v>
      </c>
      <c r="C76" s="27" t="n">
        <f aca="false">G9</f>
        <v>110000</v>
      </c>
      <c r="D76" s="28" t="n">
        <f aca="false">B76*(1-B71)</f>
        <v>72000</v>
      </c>
      <c r="E76" s="28" t="n">
        <f aca="false">C76*(1-B71)</f>
        <v>88000</v>
      </c>
      <c r="F76" s="28" t="n">
        <f aca="false">B76*(1-D71)</f>
        <v>58500</v>
      </c>
      <c r="G76" s="28" t="n">
        <f aca="false">C76*(1-D71)</f>
        <v>71500</v>
      </c>
    </row>
    <row r="77" customFormat="false" ht="15" hidden="false" customHeight="true" outlineLevel="0" collapsed="false">
      <c r="A77" s="26" t="s">
        <v>49</v>
      </c>
      <c r="B77" s="27" t="n">
        <f aca="false">C10</f>
        <v>150000</v>
      </c>
      <c r="C77" s="27" t="n">
        <f aca="false">G10</f>
        <v>180000</v>
      </c>
      <c r="D77" s="28" t="n">
        <f aca="false">B77*(1-B71)</f>
        <v>120000</v>
      </c>
      <c r="E77" s="28" t="n">
        <f aca="false">C77*(1-B71)</f>
        <v>144000</v>
      </c>
      <c r="F77" s="28" t="n">
        <f aca="false">B77*(1-D71)</f>
        <v>97500</v>
      </c>
      <c r="G77" s="28" t="n">
        <f aca="false">C77*(1-D71)</f>
        <v>117000</v>
      </c>
    </row>
    <row r="78" customFormat="false" ht="15" hidden="false" customHeight="true" outlineLevel="0" collapsed="false">
      <c r="A78" s="26" t="s">
        <v>51</v>
      </c>
      <c r="B78" s="27" t="n">
        <f aca="false">C14</f>
        <v>10000</v>
      </c>
      <c r="C78" s="27" t="n">
        <f aca="false">G14</f>
        <v>12000</v>
      </c>
      <c r="D78" s="28" t="n">
        <f aca="false">B78*(1-B71)</f>
        <v>8000</v>
      </c>
      <c r="E78" s="28" t="n">
        <f aca="false">C78*(1-B71)</f>
        <v>9600</v>
      </c>
      <c r="F78" s="28" t="n">
        <f aca="false">B78*(1-D71)</f>
        <v>6500</v>
      </c>
      <c r="G78" s="28" t="n">
        <f aca="false">C78*(1-D71)</f>
        <v>7800</v>
      </c>
    </row>
    <row r="79" customFormat="false" ht="15" hidden="false" customHeight="true" outlineLevel="0" collapsed="false">
      <c r="A79" s="26" t="s">
        <v>52</v>
      </c>
      <c r="B79" s="27" t="n">
        <f aca="false">C15</f>
        <v>22000</v>
      </c>
      <c r="C79" s="27" t="n">
        <f aca="false">G15</f>
        <v>28000</v>
      </c>
      <c r="D79" s="28" t="n">
        <f aca="false">B79*(1-B71)</f>
        <v>17600</v>
      </c>
      <c r="E79" s="28" t="n">
        <f aca="false">C79*(1-B71)</f>
        <v>22400</v>
      </c>
      <c r="F79" s="28" t="n">
        <f aca="false">B79*(1-D71)</f>
        <v>14300</v>
      </c>
      <c r="G79" s="28" t="n">
        <f aca="false">C79*(1-D71)</f>
        <v>18200</v>
      </c>
    </row>
    <row r="80" customFormat="false" ht="15" hidden="false" customHeight="true" outlineLevel="0" collapsed="false">
      <c r="A80" s="26" t="s">
        <v>53</v>
      </c>
      <c r="B80" s="27" t="n">
        <f aca="false">C16</f>
        <v>65000</v>
      </c>
      <c r="C80" s="27" t="n">
        <f aca="false">G16</f>
        <v>80000</v>
      </c>
      <c r="D80" s="28" t="n">
        <f aca="false">B80*(1-B71)</f>
        <v>52000</v>
      </c>
      <c r="E80" s="28" t="n">
        <f aca="false">C80*(1-B71)</f>
        <v>64000</v>
      </c>
      <c r="F80" s="28" t="n">
        <f aca="false">B80*(1-D71)</f>
        <v>42250</v>
      </c>
      <c r="G80" s="28" t="n">
        <f aca="false">C80*(1-D71)</f>
        <v>52000</v>
      </c>
    </row>
    <row r="81" customFormat="false" ht="15" hidden="false" customHeight="true" outlineLevel="0" collapsed="false">
      <c r="A81" s="26" t="s">
        <v>54</v>
      </c>
      <c r="B81" s="27" t="n">
        <f aca="false">C17</f>
        <v>110000</v>
      </c>
      <c r="C81" s="27" t="n">
        <f aca="false">G17</f>
        <v>135000</v>
      </c>
      <c r="D81" s="28" t="n">
        <f aca="false">B81*(1-B71)</f>
        <v>88000</v>
      </c>
      <c r="E81" s="28" t="n">
        <f aca="false">C81*(1-B71)</f>
        <v>108000</v>
      </c>
      <c r="F81" s="28" t="n">
        <f aca="false">B81*(1-D71)</f>
        <v>71500</v>
      </c>
      <c r="G81" s="28" t="n">
        <f aca="false">C81*(1-D71)</f>
        <v>87750</v>
      </c>
    </row>
    <row r="82" customFormat="false" ht="15" hidden="false" customHeight="true" outlineLevel="0" collapsed="false">
      <c r="A82" s="26" t="s">
        <v>55</v>
      </c>
      <c r="B82" s="27" t="n">
        <f aca="false">C18</f>
        <v>45000</v>
      </c>
      <c r="C82" s="27" t="n">
        <f aca="false">G18</f>
        <v>55000</v>
      </c>
      <c r="D82" s="28" t="n">
        <f aca="false">B82*(1-B71)</f>
        <v>36000</v>
      </c>
      <c r="E82" s="28" t="n">
        <f aca="false">C82*(1-B71)</f>
        <v>44000</v>
      </c>
      <c r="F82" s="28" t="n">
        <f aca="false">B82*(1-D71)</f>
        <v>29250</v>
      </c>
      <c r="G82" s="28" t="n">
        <f aca="false">C82*(1-D71)</f>
        <v>35750</v>
      </c>
    </row>
    <row r="83" customFormat="false" ht="15" hidden="false" customHeight="true" outlineLevel="0" collapsed="false">
      <c r="A83" s="26" t="s">
        <v>58</v>
      </c>
      <c r="B83" s="27" t="n">
        <f aca="false">C23</f>
        <v>11700</v>
      </c>
      <c r="C83" s="27" t="n">
        <f aca="false">G23</f>
        <v>15100</v>
      </c>
      <c r="D83" s="28" t="n">
        <f aca="false">B83*(1-B71)</f>
        <v>9360</v>
      </c>
      <c r="E83" s="28" t="n">
        <f aca="false">C83*(1-B71)</f>
        <v>12080</v>
      </c>
      <c r="F83" s="28" t="n">
        <f aca="false">B83*(1-D71)</f>
        <v>7605</v>
      </c>
      <c r="G83" s="28" t="n">
        <f aca="false">C83*(1-D71)</f>
        <v>9815</v>
      </c>
    </row>
    <row r="84" customFormat="false" ht="15" hidden="false" customHeight="true" outlineLevel="0" collapsed="false">
      <c r="A84" s="26" t="s">
        <v>59</v>
      </c>
      <c r="B84" s="27" t="n">
        <f aca="false">C24</f>
        <v>11700</v>
      </c>
      <c r="C84" s="27" t="n">
        <f aca="false">G24</f>
        <v>15100</v>
      </c>
      <c r="D84" s="28" t="n">
        <f aca="false">B84*(1-B71)</f>
        <v>9360</v>
      </c>
      <c r="E84" s="28" t="n">
        <f aca="false">C84*(1-B71)</f>
        <v>12080</v>
      </c>
      <c r="F84" s="28" t="n">
        <f aca="false">B84*(1-D71)</f>
        <v>7605</v>
      </c>
      <c r="G84" s="28" t="n">
        <f aca="false">C84*(1-D71)</f>
        <v>9815</v>
      </c>
    </row>
    <row r="85" customFormat="false" ht="15" hidden="false" customHeight="true" outlineLevel="0" collapsed="false">
      <c r="A85" s="26" t="s">
        <v>61</v>
      </c>
      <c r="B85" s="27" t="n">
        <f aca="false">C28</f>
        <v>52000</v>
      </c>
      <c r="C85" s="27" t="n">
        <f aca="false">G28</f>
        <v>52000</v>
      </c>
      <c r="D85" s="28" t="n">
        <f aca="false">B85*(1-B71)</f>
        <v>41600</v>
      </c>
      <c r="E85" s="28" t="n">
        <f aca="false">C85*(1-B71)</f>
        <v>41600</v>
      </c>
      <c r="F85" s="28" t="n">
        <f aca="false">B85*(1-D71)</f>
        <v>33800</v>
      </c>
      <c r="G85" s="28" t="n">
        <f aca="false">C85*(1-D71)</f>
        <v>33800</v>
      </c>
    </row>
    <row r="86" customFormat="false" ht="15" hidden="false" customHeight="true" outlineLevel="0" collapsed="false">
      <c r="A86" s="26" t="s">
        <v>62</v>
      </c>
      <c r="B86" s="27" t="n">
        <f aca="false">C29</f>
        <v>58000</v>
      </c>
      <c r="C86" s="27" t="n">
        <f aca="false">G29</f>
        <v>58000</v>
      </c>
      <c r="D86" s="28" t="n">
        <f aca="false">B86*(1-B71)</f>
        <v>46400</v>
      </c>
      <c r="E86" s="28" t="n">
        <f aca="false">C86*(1-B71)</f>
        <v>46400</v>
      </c>
      <c r="F86" s="28" t="n">
        <f aca="false">B86*(1-D71)</f>
        <v>37700</v>
      </c>
      <c r="G86" s="28" t="n">
        <f aca="false">C86*(1-D71)</f>
        <v>37700</v>
      </c>
    </row>
    <row r="87" customFormat="false" ht="15" hidden="false" customHeight="true" outlineLevel="0" collapsed="false">
      <c r="A87" s="26" t="s">
        <v>63</v>
      </c>
      <c r="B87" s="27" t="n">
        <f aca="false">C30</f>
        <v>62000</v>
      </c>
      <c r="C87" s="27" t="n">
        <f aca="false">G30</f>
        <v>62000</v>
      </c>
      <c r="D87" s="28" t="n">
        <f aca="false">B87*(1-B71)</f>
        <v>49600</v>
      </c>
      <c r="E87" s="28" t="n">
        <f aca="false">C87*(1-B71)</f>
        <v>49600</v>
      </c>
      <c r="F87" s="28" t="n">
        <f aca="false">B87*(1-D71)</f>
        <v>40300</v>
      </c>
      <c r="G87" s="28" t="n">
        <f aca="false">C87*(1-D71)</f>
        <v>40300</v>
      </c>
    </row>
    <row r="88" customFormat="false" ht="15" hidden="false" customHeight="true" outlineLevel="0" collapsed="false">
      <c r="A88" s="26" t="s">
        <v>64</v>
      </c>
      <c r="B88" s="27" t="n">
        <f aca="false">C31</f>
        <v>100000</v>
      </c>
      <c r="C88" s="27" t="n">
        <f aca="false">G31</f>
        <v>125000</v>
      </c>
      <c r="D88" s="28" t="n">
        <f aca="false">B88*(1-B71)</f>
        <v>80000</v>
      </c>
      <c r="E88" s="28" t="n">
        <f aca="false">C88*(1-B71)</f>
        <v>100000</v>
      </c>
      <c r="F88" s="28" t="n">
        <f aca="false">B88*(1-D71)</f>
        <v>65000</v>
      </c>
      <c r="G88" s="28" t="n">
        <f aca="false">C88*(1-D71)</f>
        <v>81250</v>
      </c>
    </row>
    <row r="89" customFormat="false" ht="15" hidden="false" customHeight="true" outlineLevel="0" collapsed="false">
      <c r="A89" s="26" t="s">
        <v>65</v>
      </c>
      <c r="B89" s="27" t="n">
        <f aca="false">C32</f>
        <v>140000</v>
      </c>
      <c r="C89" s="27" t="n">
        <f aca="false">G32</f>
        <v>170000</v>
      </c>
      <c r="D89" s="28" t="n">
        <f aca="false">B89*(1-B71)</f>
        <v>112000</v>
      </c>
      <c r="E89" s="28" t="n">
        <f aca="false">C89*(1-B71)</f>
        <v>136000</v>
      </c>
      <c r="F89" s="28" t="n">
        <f aca="false">B89*(1-D71)</f>
        <v>91000</v>
      </c>
      <c r="G89" s="28" t="n">
        <f aca="false">C89*(1-D71)</f>
        <v>110500</v>
      </c>
    </row>
    <row r="90" customFormat="false" ht="15" hidden="false" customHeight="true" outlineLevel="0" collapsed="false">
      <c r="A90" s="26" t="s">
        <v>66</v>
      </c>
      <c r="B90" s="27" t="n">
        <f aca="false">C33</f>
        <v>150000</v>
      </c>
      <c r="C90" s="27" t="n">
        <f aca="false">G33</f>
        <v>180000</v>
      </c>
      <c r="D90" s="28" t="n">
        <f aca="false">B90*(1-B71)</f>
        <v>120000</v>
      </c>
      <c r="E90" s="28" t="n">
        <f aca="false">C90*(1-B71)</f>
        <v>144000</v>
      </c>
      <c r="F90" s="28" t="n">
        <f aca="false">B90*(1-D71)</f>
        <v>97500</v>
      </c>
      <c r="G90" s="28" t="n">
        <f aca="false">C90*(1-D71)</f>
        <v>117000</v>
      </c>
    </row>
    <row r="91" customFormat="false" ht="15" hidden="false" customHeight="true" outlineLevel="0" collapsed="false">
      <c r="A91" s="26" t="s">
        <v>67</v>
      </c>
      <c r="B91" s="27" t="n">
        <f aca="false">C34</f>
        <v>180000</v>
      </c>
      <c r="C91" s="27" t="n">
        <f aca="false">G34</f>
        <v>220000</v>
      </c>
      <c r="D91" s="28" t="n">
        <f aca="false">B91*(1-B71)</f>
        <v>144000</v>
      </c>
      <c r="E91" s="28" t="n">
        <f aca="false">C91*(1-B71)</f>
        <v>176000</v>
      </c>
      <c r="F91" s="28" t="n">
        <f aca="false">B91*(1-D71)</f>
        <v>117000</v>
      </c>
      <c r="G91" s="28" t="n">
        <f aca="false">C91*(1-D71)</f>
        <v>143000</v>
      </c>
    </row>
    <row r="92" customFormat="false" ht="15" hidden="false" customHeight="true" outlineLevel="0" collapsed="false">
      <c r="A92" s="26" t="s">
        <v>68</v>
      </c>
      <c r="B92" s="27" t="n">
        <f aca="false">C35</f>
        <v>350000</v>
      </c>
      <c r="C92" s="27" t="n">
        <f aca="false">G35</f>
        <v>420000</v>
      </c>
      <c r="D92" s="28" t="n">
        <f aca="false">B92*(1-B71)</f>
        <v>280000</v>
      </c>
      <c r="E92" s="28" t="n">
        <f aca="false">C92*(1-B71)</f>
        <v>336000</v>
      </c>
      <c r="F92" s="28" t="n">
        <f aca="false">B92*(1-D71)</f>
        <v>227500</v>
      </c>
      <c r="G92" s="28" t="n">
        <f aca="false">C92*(1-D71)</f>
        <v>273000</v>
      </c>
    </row>
    <row r="93" customFormat="false" ht="15" hidden="false" customHeight="true" outlineLevel="0" collapsed="false">
      <c r="A93" s="26" t="s">
        <v>69</v>
      </c>
      <c r="B93" s="27" t="n">
        <f aca="false">C36</f>
        <v>370000</v>
      </c>
      <c r="C93" s="27" t="n">
        <f aca="false">G36</f>
        <v>440000</v>
      </c>
      <c r="D93" s="28" t="n">
        <f aca="false">B93*(1-B71)</f>
        <v>296000</v>
      </c>
      <c r="E93" s="28" t="n">
        <f aca="false">C93*(1-B71)</f>
        <v>352000</v>
      </c>
      <c r="F93" s="28" t="n">
        <f aca="false">B93*(1-D71)</f>
        <v>240500</v>
      </c>
      <c r="G93" s="28" t="n">
        <f aca="false">C93*(1-D71)</f>
        <v>286000</v>
      </c>
    </row>
    <row r="94" customFormat="false" ht="15" hidden="false" customHeight="true" outlineLevel="0" collapsed="false">
      <c r="A94" s="26" t="s">
        <v>71</v>
      </c>
      <c r="B94" s="27" t="n">
        <f aca="false">C40</f>
        <v>25000</v>
      </c>
      <c r="C94" s="27" t="n">
        <f aca="false">G40</f>
        <v>27500</v>
      </c>
      <c r="D94" s="28" t="n">
        <f aca="false">B94*(1-B71)</f>
        <v>20000</v>
      </c>
      <c r="E94" s="28" t="n">
        <f aca="false">C94*(1-B71)</f>
        <v>22000</v>
      </c>
      <c r="F94" s="28" t="n">
        <f aca="false">B94*(1-D71)</f>
        <v>16250</v>
      </c>
      <c r="G94" s="28" t="n">
        <f aca="false">C94*(1-D71)</f>
        <v>17875</v>
      </c>
    </row>
    <row r="95" customFormat="false" ht="15" hidden="false" customHeight="true" outlineLevel="0" collapsed="false">
      <c r="A95" s="26" t="s">
        <v>72</v>
      </c>
      <c r="B95" s="27" t="n">
        <f aca="false">C41</f>
        <v>55000</v>
      </c>
      <c r="C95" s="27" t="n">
        <f aca="false">G41</f>
        <v>59000</v>
      </c>
      <c r="D95" s="28" t="n">
        <f aca="false">B95*(1-B71)</f>
        <v>44000</v>
      </c>
      <c r="E95" s="28" t="n">
        <f aca="false">C95*(1-B71)</f>
        <v>47200</v>
      </c>
      <c r="F95" s="28" t="n">
        <f aca="false">B95*(1-D71)</f>
        <v>35750</v>
      </c>
      <c r="G95" s="28" t="n">
        <f aca="false">C95*(1-D71)</f>
        <v>38350</v>
      </c>
    </row>
    <row r="96" customFormat="false" ht="15" hidden="false" customHeight="true" outlineLevel="0" collapsed="false">
      <c r="A96" s="26" t="s">
        <v>73</v>
      </c>
      <c r="B96" s="27" t="n">
        <f aca="false">C42</f>
        <v>72000</v>
      </c>
      <c r="C96" s="27" t="n">
        <f aca="false">G42</f>
        <v>77000</v>
      </c>
      <c r="D96" s="28" t="n">
        <f aca="false">B96*(1-B71)</f>
        <v>57600</v>
      </c>
      <c r="E96" s="28" t="n">
        <f aca="false">C96*(1-B71)</f>
        <v>61600</v>
      </c>
      <c r="F96" s="28" t="n">
        <f aca="false">B96*(1-D71)</f>
        <v>46800</v>
      </c>
      <c r="G96" s="28" t="n">
        <f aca="false">C96*(1-D71)</f>
        <v>50050</v>
      </c>
    </row>
    <row r="97" customFormat="false" ht="15" hidden="false" customHeight="true" outlineLevel="0" collapsed="false">
      <c r="A97" s="26" t="s">
        <v>74</v>
      </c>
      <c r="B97" s="27" t="n">
        <f aca="false">C43</f>
        <v>18000</v>
      </c>
      <c r="C97" s="27" t="n">
        <f aca="false">G43</f>
        <v>20000</v>
      </c>
      <c r="D97" s="28" t="n">
        <f aca="false">B97*(1-B71)</f>
        <v>14400</v>
      </c>
      <c r="E97" s="28" t="n">
        <f aca="false">C97*(1-B71)</f>
        <v>16000</v>
      </c>
      <c r="F97" s="28" t="n">
        <f aca="false">B97*(1-D71)</f>
        <v>11700</v>
      </c>
      <c r="G97" s="28" t="n">
        <f aca="false">C97*(1-D71)</f>
        <v>13000</v>
      </c>
    </row>
    <row r="98" customFormat="false" ht="15" hidden="false" customHeight="true" outlineLevel="0" collapsed="false">
      <c r="A98" s="26" t="s">
        <v>75</v>
      </c>
      <c r="B98" s="27" t="n">
        <f aca="false">C44</f>
        <v>39000</v>
      </c>
      <c r="C98" s="27" t="n">
        <f aca="false">G44</f>
        <v>42000</v>
      </c>
      <c r="D98" s="28" t="n">
        <f aca="false">B98*(1-B71)</f>
        <v>31200</v>
      </c>
      <c r="E98" s="28" t="n">
        <f aca="false">C98*(1-B71)</f>
        <v>33600</v>
      </c>
      <c r="F98" s="28" t="n">
        <f aca="false">B98*(1-D71)</f>
        <v>25350</v>
      </c>
      <c r="G98" s="28" t="n">
        <f aca="false">C98*(1-D71)</f>
        <v>27300</v>
      </c>
    </row>
    <row r="99" customFormat="false" ht="15" hidden="false" customHeight="true" outlineLevel="0" collapsed="false">
      <c r="A99" s="26" t="s">
        <v>76</v>
      </c>
      <c r="B99" s="27" t="n">
        <f aca="false">C45</f>
        <v>51500</v>
      </c>
      <c r="C99" s="27" t="n">
        <f aca="false">G45</f>
        <v>55000</v>
      </c>
      <c r="D99" s="28" t="n">
        <f aca="false">B99*(1-B71)</f>
        <v>41200</v>
      </c>
      <c r="E99" s="28" t="n">
        <f aca="false">C99*(1-B71)</f>
        <v>44000</v>
      </c>
      <c r="F99" s="28" t="n">
        <f aca="false">B99*(1-D71)</f>
        <v>33475</v>
      </c>
      <c r="G99" s="28" t="n">
        <f aca="false">C99*(1-D71)</f>
        <v>35750</v>
      </c>
    </row>
    <row r="100" customFormat="false" ht="15" hidden="false" customHeight="true" outlineLevel="0" collapsed="false">
      <c r="A100" s="26" t="s">
        <v>77</v>
      </c>
      <c r="B100" s="27" t="n">
        <f aca="false">C46</f>
        <v>7000</v>
      </c>
      <c r="C100" s="27" t="n">
        <f aca="false">G46</f>
        <v>8000</v>
      </c>
      <c r="D100" s="28" t="n">
        <f aca="false">B100*(1-B71)</f>
        <v>5600</v>
      </c>
      <c r="E100" s="28" t="n">
        <f aca="false">C100*(1-B71)</f>
        <v>6400</v>
      </c>
      <c r="F100" s="28" t="n">
        <f aca="false">B100*(1-D71)</f>
        <v>4550</v>
      </c>
      <c r="G100" s="28" t="n">
        <f aca="false">C100*(1-D71)</f>
        <v>5200</v>
      </c>
    </row>
    <row r="101" customFormat="false" ht="15" hidden="false" customHeight="true" outlineLevel="0" collapsed="false">
      <c r="A101" s="26" t="s">
        <v>78</v>
      </c>
      <c r="B101" s="27" t="n">
        <f aca="false">C47</f>
        <v>16000</v>
      </c>
      <c r="C101" s="27" t="n">
        <f aca="false">G47</f>
        <v>17000</v>
      </c>
      <c r="D101" s="28" t="n">
        <f aca="false">B101*(1-B71)</f>
        <v>12800</v>
      </c>
      <c r="E101" s="28" t="n">
        <f aca="false">C101*(1-B71)</f>
        <v>13600</v>
      </c>
      <c r="F101" s="28" t="n">
        <f aca="false">B101*(1-D71)</f>
        <v>10400</v>
      </c>
      <c r="G101" s="28" t="n">
        <f aca="false">C101*(1-D71)</f>
        <v>11050</v>
      </c>
    </row>
    <row r="102" customFormat="false" ht="15" hidden="false" customHeight="true" outlineLevel="0" collapsed="false">
      <c r="A102" s="26" t="s">
        <v>79</v>
      </c>
      <c r="B102" s="27" t="n">
        <f aca="false">C48</f>
        <v>20500</v>
      </c>
      <c r="C102" s="27" t="n">
        <f aca="false">G48</f>
        <v>22000</v>
      </c>
      <c r="D102" s="28" t="n">
        <f aca="false">B102*(1-B71)</f>
        <v>16400</v>
      </c>
      <c r="E102" s="28" t="n">
        <f aca="false">C102*(1-B71)</f>
        <v>17600</v>
      </c>
      <c r="F102" s="28" t="n">
        <f aca="false">B102*(1-D71)</f>
        <v>13325</v>
      </c>
      <c r="G102" s="28" t="n">
        <f aca="false">C102*(1-D71)</f>
        <v>14300</v>
      </c>
    </row>
    <row r="103" customFormat="false" ht="15" hidden="false" customHeight="true" outlineLevel="0" collapsed="false">
      <c r="A103" s="32" t="s">
        <v>91</v>
      </c>
      <c r="B103" s="27" t="n">
        <f aca="false">C19</f>
        <v>3500</v>
      </c>
      <c r="C103" s="27" t="n">
        <f aca="false">G19</f>
        <v>4500</v>
      </c>
      <c r="D103" s="33" t="n">
        <f aca="false">C19</f>
        <v>3500</v>
      </c>
      <c r="E103" s="33" t="n">
        <f aca="false">G19</f>
        <v>4500</v>
      </c>
      <c r="F103" s="33" t="n">
        <f aca="false">C19</f>
        <v>3500</v>
      </c>
      <c r="G103" s="33" t="n">
        <f aca="false">G19</f>
        <v>4500</v>
      </c>
    </row>
  </sheetData>
  <mergeCells count="3">
    <mergeCell ref="A2:I2"/>
    <mergeCell ref="A52:G52"/>
    <mergeCell ref="A70:G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2"/>
    <col collapsed="false" customWidth="true" hidden="false" outlineLevel="0" max="5" min="5" style="1" width="10"/>
    <col collapsed="false" customWidth="true" hidden="false" outlineLevel="0" max="8" min="6" style="1" width="12"/>
    <col collapsed="false" customWidth="true" hidden="false" outlineLevel="0" max="9" min="9" style="1" width="10"/>
    <col collapsed="false" customWidth="true" hidden="false" outlineLevel="0" max="10" min="10" style="1" width="46"/>
  </cols>
  <sheetData>
    <row r="1" customFormat="false" ht="17.25" hidden="false" customHeight="true" outlineLevel="0" collapsed="false">
      <c r="A1" s="20" t="s">
        <v>100</v>
      </c>
    </row>
    <row r="2" customFormat="false" ht="42" hidden="false" customHeight="true" outlineLevel="0" collapsed="false">
      <c r="A2" s="34" t="s">
        <v>101</v>
      </c>
      <c r="B2" s="34"/>
      <c r="C2" s="34"/>
      <c r="D2" s="34"/>
      <c r="E2" s="34"/>
      <c r="F2" s="34"/>
      <c r="G2" s="34"/>
      <c r="H2" s="34"/>
      <c r="I2" s="34"/>
      <c r="J2" s="34"/>
    </row>
    <row r="4" customFormat="false" ht="30" hidden="false" customHeight="true" outlineLevel="0" collapsed="false">
      <c r="A4" s="35" t="s">
        <v>102</v>
      </c>
      <c r="B4" s="35" t="s">
        <v>103</v>
      </c>
      <c r="C4" s="35" t="s">
        <v>104</v>
      </c>
      <c r="D4" s="35" t="s">
        <v>105</v>
      </c>
      <c r="E4" s="35" t="s">
        <v>106</v>
      </c>
      <c r="F4" s="35" t="s">
        <v>107</v>
      </c>
      <c r="G4" s="35" t="s">
        <v>108</v>
      </c>
      <c r="H4" s="35" t="s">
        <v>109</v>
      </c>
      <c r="I4" s="35" t="s">
        <v>110</v>
      </c>
      <c r="J4" s="35" t="s">
        <v>111</v>
      </c>
    </row>
    <row r="5" customFormat="false" ht="15" hidden="false" customHeight="true" outlineLevel="0" collapsed="false">
      <c r="A5" s="22" t="s">
        <v>112</v>
      </c>
      <c r="B5" s="23"/>
      <c r="C5" s="23"/>
      <c r="D5" s="23"/>
      <c r="E5" s="23"/>
      <c r="F5" s="23"/>
      <c r="G5" s="23"/>
      <c r="H5" s="23"/>
      <c r="I5" s="23"/>
      <c r="J5" s="23"/>
    </row>
    <row r="6" customFormat="false" ht="15" hidden="false" customHeight="true" outlineLevel="0" collapsed="false">
      <c r="A6" s="36" t="s">
        <v>113</v>
      </c>
      <c r="B6" s="37" t="n">
        <v>700.11</v>
      </c>
      <c r="C6" s="37" t="n">
        <v>5000</v>
      </c>
      <c r="D6" s="38" t="n">
        <f aca="false">C6-B6</f>
        <v>4299.89</v>
      </c>
      <c r="E6" s="39" t="n">
        <f aca="false">D6/C6</f>
        <v>0.859978</v>
      </c>
      <c r="F6" s="37" t="n">
        <v>910.14</v>
      </c>
      <c r="G6" s="37" t="n">
        <v>7000</v>
      </c>
      <c r="H6" s="38" t="n">
        <f aca="false">G6-F6</f>
        <v>6089.86</v>
      </c>
      <c r="I6" s="39" t="n">
        <f aca="false">H6/G6</f>
        <v>0.86998</v>
      </c>
      <c r="J6" s="40" t="s">
        <v>114</v>
      </c>
    </row>
    <row r="7" customFormat="false" ht="15" hidden="false" customHeight="true" outlineLevel="0" collapsed="false">
      <c r="A7" s="36" t="s">
        <v>115</v>
      </c>
      <c r="B7" s="41"/>
      <c r="C7" s="37" t="n">
        <v>8000</v>
      </c>
      <c r="D7" s="41"/>
      <c r="E7" s="42"/>
      <c r="F7" s="41"/>
      <c r="G7" s="37" t="n">
        <v>10000</v>
      </c>
      <c r="H7" s="41"/>
      <c r="I7" s="42"/>
      <c r="J7" s="40" t="s">
        <v>116</v>
      </c>
    </row>
    <row r="8" customFormat="false" ht="15" hidden="false" customHeight="true" outlineLevel="0" collapsed="false">
      <c r="A8" s="36" t="s">
        <v>117</v>
      </c>
      <c r="B8" s="37" t="n">
        <v>749.58</v>
      </c>
      <c r="C8" s="37" t="n">
        <v>22000</v>
      </c>
      <c r="D8" s="38" t="n">
        <f aca="false">C8-B8</f>
        <v>21250.42</v>
      </c>
      <c r="E8" s="39" t="n">
        <f aca="false">D8/C8</f>
        <v>0.965928181818182</v>
      </c>
      <c r="F8" s="37" t="n">
        <v>974.45</v>
      </c>
      <c r="G8" s="37" t="n">
        <v>28000</v>
      </c>
      <c r="H8" s="38" t="n">
        <f aca="false">G8-F8</f>
        <v>27025.55</v>
      </c>
      <c r="I8" s="39" t="n">
        <f aca="false">H8/G8</f>
        <v>0.965198214285714</v>
      </c>
      <c r="J8" s="40" t="s">
        <v>118</v>
      </c>
    </row>
    <row r="9" customFormat="false" ht="15" hidden="false" customHeight="true" outlineLevel="0" collapsed="false">
      <c r="A9" s="36" t="s">
        <v>119</v>
      </c>
      <c r="B9" s="41"/>
      <c r="C9" s="37" t="n">
        <v>6000</v>
      </c>
      <c r="D9" s="41"/>
      <c r="E9" s="42"/>
      <c r="F9" s="41"/>
      <c r="G9" s="37" t="n">
        <v>8000</v>
      </c>
      <c r="H9" s="41"/>
      <c r="I9" s="42"/>
      <c r="J9" s="40" t="s">
        <v>120</v>
      </c>
    </row>
    <row r="10" customFormat="false" ht="15" hidden="false" customHeight="true" outlineLevel="0" collapsed="false">
      <c r="A10" s="36" t="s">
        <v>121</v>
      </c>
      <c r="B10" s="41"/>
      <c r="C10" s="37" t="n">
        <v>6000</v>
      </c>
      <c r="D10" s="41"/>
      <c r="E10" s="42"/>
      <c r="F10" s="41"/>
      <c r="G10" s="37" t="n">
        <v>8000</v>
      </c>
      <c r="H10" s="41"/>
      <c r="I10" s="42"/>
      <c r="J10" s="40" t="s">
        <v>122</v>
      </c>
    </row>
    <row r="11" customFormat="false" ht="15" hidden="false" customHeight="true" outlineLevel="0" collapsed="false">
      <c r="A11" s="36" t="s">
        <v>123</v>
      </c>
      <c r="B11" s="41"/>
      <c r="C11" s="37" t="n">
        <v>5000</v>
      </c>
      <c r="D11" s="41"/>
      <c r="E11" s="42"/>
      <c r="F11" s="41"/>
      <c r="G11" s="37" t="n">
        <v>6000</v>
      </c>
      <c r="H11" s="41"/>
      <c r="I11" s="42"/>
      <c r="J11" s="40" t="s">
        <v>124</v>
      </c>
    </row>
    <row r="12" customFormat="false" ht="15" hidden="false" customHeight="true" outlineLevel="0" collapsed="false">
      <c r="A12" s="36" t="s">
        <v>125</v>
      </c>
      <c r="B12" s="41"/>
      <c r="C12" s="37" t="n">
        <v>3500</v>
      </c>
      <c r="D12" s="41"/>
      <c r="E12" s="42"/>
      <c r="F12" s="41"/>
      <c r="G12" s="37" t="n">
        <v>4500</v>
      </c>
      <c r="H12" s="41"/>
      <c r="I12" s="42"/>
      <c r="J12" s="40" t="s">
        <v>126</v>
      </c>
    </row>
    <row r="13" customFormat="false" ht="15" hidden="false" customHeight="true" outlineLevel="0" collapsed="false">
      <c r="A13" s="36" t="s">
        <v>127</v>
      </c>
      <c r="B13" s="37" t="n">
        <v>3473.68</v>
      </c>
      <c r="C13" s="37" t="n">
        <v>10000</v>
      </c>
      <c r="D13" s="38" t="n">
        <f aca="false">C13-B13</f>
        <v>6526.32</v>
      </c>
      <c r="E13" s="39" t="n">
        <f aca="false">D13/C13</f>
        <v>0.652632</v>
      </c>
      <c r="F13" s="37" t="n">
        <v>4515.78</v>
      </c>
      <c r="G13" s="37" t="n">
        <v>12000</v>
      </c>
      <c r="H13" s="38" t="n">
        <f aca="false">G13-F13</f>
        <v>7484.22</v>
      </c>
      <c r="I13" s="39" t="n">
        <f aca="false">H13/G13</f>
        <v>0.623685</v>
      </c>
      <c r="J13" s="40" t="s">
        <v>128</v>
      </c>
    </row>
    <row r="14" customFormat="false" ht="15" hidden="false" customHeight="true" outlineLevel="0" collapsed="false">
      <c r="A14" s="22" t="s">
        <v>129</v>
      </c>
      <c r="B14" s="23"/>
      <c r="C14" s="23"/>
      <c r="D14" s="23"/>
      <c r="E14" s="23"/>
      <c r="F14" s="23"/>
      <c r="G14" s="23"/>
      <c r="H14" s="23"/>
      <c r="I14" s="23"/>
      <c r="J14" s="23"/>
    </row>
    <row r="15" customFormat="false" ht="15" hidden="false" customHeight="true" outlineLevel="0" collapsed="false">
      <c r="A15" s="36" t="s">
        <v>130</v>
      </c>
      <c r="B15" s="41"/>
      <c r="C15" s="37" t="n">
        <v>4000</v>
      </c>
      <c r="D15" s="41"/>
      <c r="E15" s="42"/>
      <c r="F15" s="41"/>
      <c r="G15" s="37" t="n">
        <v>5000</v>
      </c>
      <c r="H15" s="41"/>
      <c r="I15" s="42"/>
      <c r="J15" s="40" t="s">
        <v>126</v>
      </c>
    </row>
    <row r="16" customFormat="false" ht="15" hidden="false" customHeight="true" outlineLevel="0" collapsed="false">
      <c r="A16" s="36" t="s">
        <v>131</v>
      </c>
      <c r="B16" s="41"/>
      <c r="C16" s="37" t="n">
        <v>12000</v>
      </c>
      <c r="D16" s="41"/>
      <c r="E16" s="42"/>
      <c r="F16" s="41"/>
      <c r="G16" s="37" t="n">
        <v>15000</v>
      </c>
      <c r="H16" s="41"/>
      <c r="I16" s="42"/>
      <c r="J16" s="40" t="s">
        <v>132</v>
      </c>
    </row>
    <row r="17" customFormat="false" ht="15" hidden="false" customHeight="true" outlineLevel="0" collapsed="false">
      <c r="A17" s="36" t="s">
        <v>133</v>
      </c>
      <c r="B17" s="41"/>
      <c r="C17" s="37" t="n">
        <v>4000</v>
      </c>
      <c r="D17" s="41"/>
      <c r="E17" s="42"/>
      <c r="F17" s="41"/>
      <c r="G17" s="37" t="n">
        <v>5000</v>
      </c>
      <c r="H17" s="41"/>
      <c r="I17" s="42"/>
      <c r="J17" s="40" t="s">
        <v>134</v>
      </c>
    </row>
    <row r="18" customFormat="false" ht="15" hidden="false" customHeight="true" outlineLevel="0" collapsed="false">
      <c r="A18" s="36" t="s">
        <v>135</v>
      </c>
      <c r="B18" s="41"/>
      <c r="C18" s="37" t="n">
        <v>6000</v>
      </c>
      <c r="D18" s="41"/>
      <c r="E18" s="42"/>
      <c r="F18" s="41"/>
      <c r="G18" s="37" t="n">
        <v>7500</v>
      </c>
      <c r="H18" s="41"/>
      <c r="I18" s="42"/>
      <c r="J18" s="40" t="s">
        <v>132</v>
      </c>
    </row>
    <row r="19" customFormat="false" ht="15" hidden="false" customHeight="true" outlineLevel="0" collapsed="false">
      <c r="A19" s="36" t="s">
        <v>136</v>
      </c>
      <c r="B19" s="37" t="n">
        <v>1737.97</v>
      </c>
      <c r="C19" s="37" t="n">
        <v>3500</v>
      </c>
      <c r="D19" s="38" t="n">
        <f aca="false">C19-B19</f>
        <v>1762.03</v>
      </c>
      <c r="E19" s="39" t="n">
        <f aca="false">D19/C19</f>
        <v>0.503437142857143</v>
      </c>
      <c r="F19" s="37" t="n">
        <v>2259.36</v>
      </c>
      <c r="G19" s="37" t="n">
        <v>4500</v>
      </c>
      <c r="H19" s="38" t="n">
        <f aca="false">G19-F19</f>
        <v>2240.64</v>
      </c>
      <c r="I19" s="39" t="n">
        <f aca="false">H19/G19</f>
        <v>0.49792</v>
      </c>
      <c r="J19" s="40" t="s">
        <v>137</v>
      </c>
    </row>
    <row r="20" customFormat="false" ht="15" hidden="false" customHeight="true" outlineLevel="0" collapsed="false">
      <c r="A20" s="36" t="s">
        <v>138</v>
      </c>
      <c r="B20" s="41"/>
      <c r="C20" s="37" t="n">
        <v>3000</v>
      </c>
      <c r="D20" s="41"/>
      <c r="E20" s="42"/>
      <c r="F20" s="41"/>
      <c r="G20" s="37" t="n">
        <v>4000</v>
      </c>
      <c r="H20" s="41"/>
      <c r="I20" s="42"/>
      <c r="J20" s="40" t="s">
        <v>139</v>
      </c>
    </row>
    <row r="21" customFormat="false" ht="15" hidden="false" customHeight="true" outlineLevel="0" collapsed="false">
      <c r="A21" s="22" t="s">
        <v>140</v>
      </c>
      <c r="B21" s="23"/>
      <c r="C21" s="23"/>
      <c r="D21" s="23"/>
      <c r="E21" s="23"/>
      <c r="F21" s="23"/>
      <c r="G21" s="23"/>
      <c r="H21" s="23"/>
      <c r="I21" s="23"/>
      <c r="J21" s="23"/>
    </row>
    <row r="22" customFormat="false" ht="15" hidden="false" customHeight="true" outlineLevel="0" collapsed="false">
      <c r="A22" s="36" t="s">
        <v>141</v>
      </c>
      <c r="B22" s="41"/>
      <c r="C22" s="37" t="n">
        <v>4000</v>
      </c>
      <c r="D22" s="41"/>
      <c r="E22" s="42"/>
      <c r="F22" s="41"/>
      <c r="G22" s="37" t="n">
        <v>5000</v>
      </c>
      <c r="H22" s="41"/>
      <c r="I22" s="42"/>
      <c r="J22" s="40" t="s">
        <v>132</v>
      </c>
    </row>
    <row r="23" customFormat="false" ht="15" hidden="false" customHeight="true" outlineLevel="0" collapsed="false">
      <c r="A23" s="36" t="s">
        <v>142</v>
      </c>
      <c r="B23" s="37" t="n">
        <v>4467.47</v>
      </c>
      <c r="C23" s="37" t="n">
        <v>45000</v>
      </c>
      <c r="D23" s="38" t="n">
        <f aca="false">C23-B23</f>
        <v>40532.53</v>
      </c>
      <c r="E23" s="39" t="n">
        <f aca="false">D23/C23</f>
        <v>0.900722888888889</v>
      </c>
      <c r="F23" s="37" t="n">
        <v>5807.71</v>
      </c>
      <c r="G23" s="37" t="n">
        <v>55000</v>
      </c>
      <c r="H23" s="38" t="n">
        <f aca="false">G23-F23</f>
        <v>49192.29</v>
      </c>
      <c r="I23" s="39" t="n">
        <f aca="false">H23/G23</f>
        <v>0.894405272727273</v>
      </c>
      <c r="J23" s="40" t="s">
        <v>143</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60"/>
    <col collapsed="false" customWidth="true" hidden="false" outlineLevel="0" max="3" min="3" style="1" width="14"/>
    <col collapsed="false" customWidth="true" hidden="false" outlineLevel="0" max="6" min="4" style="1" width="16"/>
  </cols>
  <sheetData>
    <row r="1" customFormat="false" ht="17.25" hidden="false" customHeight="true" outlineLevel="0" collapsed="false">
      <c r="A1" s="2" t="s">
        <v>144</v>
      </c>
      <c r="B1" s="2"/>
      <c r="C1" s="2"/>
      <c r="D1" s="2"/>
      <c r="E1" s="2"/>
      <c r="F1" s="2"/>
    </row>
    <row r="2" customFormat="false" ht="27.75" hidden="false" customHeight="true" outlineLevel="0" collapsed="false">
      <c r="A2" s="43" t="s">
        <v>145</v>
      </c>
      <c r="B2" s="43"/>
      <c r="C2" s="43"/>
      <c r="D2" s="43"/>
      <c r="E2" s="43"/>
      <c r="F2" s="43"/>
    </row>
    <row r="4" customFormat="false" ht="23.25" hidden="false" customHeight="true" outlineLevel="0" collapsed="false">
      <c r="A4" s="44" t="s">
        <v>146</v>
      </c>
      <c r="B4" s="44" t="s">
        <v>2</v>
      </c>
      <c r="C4" s="44" t="s">
        <v>147</v>
      </c>
      <c r="D4" s="44" t="s">
        <v>148</v>
      </c>
      <c r="E4" s="44" t="s">
        <v>149</v>
      </c>
      <c r="F4" s="44" t="s">
        <v>150</v>
      </c>
    </row>
    <row r="5" customFormat="false" ht="27.75" hidden="false" customHeight="true" outlineLevel="0" collapsed="false">
      <c r="A5" s="5" t="s">
        <v>151</v>
      </c>
      <c r="B5" s="45" t="s">
        <v>152</v>
      </c>
      <c r="C5" s="5" t="s">
        <v>153</v>
      </c>
      <c r="D5" s="10" t="n">
        <v>110</v>
      </c>
      <c r="E5" s="46" t="n">
        <f aca="false">D5*Assumptions!$B$21</f>
        <v>151.43373843129</v>
      </c>
      <c r="F5" s="47" t="n">
        <f aca="false">E5*Assumptions!$B$5</f>
        <v>20443.5546882241</v>
      </c>
    </row>
    <row r="6" customFormat="false" ht="27.75" hidden="false" customHeight="true" outlineLevel="0" collapsed="false">
      <c r="A6" s="5" t="s">
        <v>154</v>
      </c>
      <c r="B6" s="45" t="s">
        <v>155</v>
      </c>
      <c r="C6" s="5" t="s">
        <v>156</v>
      </c>
      <c r="D6" s="10" t="n">
        <v>27</v>
      </c>
      <c r="E6" s="46" t="n">
        <f aca="false">D6*Assumptions!$B$21</f>
        <v>37.1700994331347</v>
      </c>
      <c r="F6" s="47" t="n">
        <f aca="false">E6*Assumptions!$B$5</f>
        <v>5017.96342347319</v>
      </c>
    </row>
    <row r="7" customFormat="false" ht="27.75" hidden="false" customHeight="true" outlineLevel="0" collapsed="false">
      <c r="A7" s="5" t="s">
        <v>157</v>
      </c>
      <c r="B7" s="45" t="s">
        <v>158</v>
      </c>
      <c r="C7" s="5" t="s">
        <v>156</v>
      </c>
      <c r="D7" s="10" t="n">
        <v>69</v>
      </c>
      <c r="E7" s="46" t="n">
        <f aca="false">D7*Assumptions!$B$21</f>
        <v>94.9902541068999</v>
      </c>
      <c r="F7" s="47" t="n">
        <f aca="false">E7*Assumptions!$B$5</f>
        <v>12823.6843044315</v>
      </c>
    </row>
    <row r="8" customFormat="false" ht="27.75" hidden="false" customHeight="true" outlineLevel="0" collapsed="false">
      <c r="A8" s="5" t="s">
        <v>159</v>
      </c>
      <c r="B8" s="45" t="s">
        <v>160</v>
      </c>
      <c r="C8" s="5" t="s">
        <v>161</v>
      </c>
      <c r="D8" s="10" t="n">
        <v>1.79</v>
      </c>
      <c r="E8" s="46" t="n">
        <f aca="false">D8*Assumptions!$B$21</f>
        <v>2.4642399253819</v>
      </c>
      <c r="F8" s="47" t="n">
        <f aca="false">E8*Assumptions!$B$5</f>
        <v>332.672389926556</v>
      </c>
    </row>
    <row r="9" customFormat="false" ht="27.75" hidden="false" customHeight="true" outlineLevel="0" collapsed="false">
      <c r="A9" s="5" t="s">
        <v>162</v>
      </c>
      <c r="B9" s="45" t="s">
        <v>163</v>
      </c>
      <c r="C9" s="5" t="s">
        <v>156</v>
      </c>
      <c r="D9" s="10" t="n">
        <v>1.1</v>
      </c>
      <c r="E9" s="46" t="n">
        <f aca="false">D9*Assumptions!$B$21</f>
        <v>1.5143373843129</v>
      </c>
      <c r="F9" s="47" t="n">
        <f aca="false">E9*Assumptions!$B$5</f>
        <v>204.435546882241</v>
      </c>
    </row>
    <row r="10" customFormat="false" ht="27.75" hidden="false" customHeight="true" outlineLevel="0" collapsed="false">
      <c r="A10" s="5" t="s">
        <v>164</v>
      </c>
      <c r="B10" s="45" t="s">
        <v>165</v>
      </c>
      <c r="C10" s="5" t="s">
        <v>156</v>
      </c>
      <c r="D10" s="10" t="n">
        <v>0.7</v>
      </c>
      <c r="E10" s="46" t="n">
        <f aca="false">D10*Assumptions!$B$21</f>
        <v>0.963669244562752</v>
      </c>
      <c r="F10" s="47" t="n">
        <f aca="false">E10*Assumptions!$B$5</f>
        <v>130.095348015972</v>
      </c>
    </row>
    <row r="11" customFormat="false" ht="27.75" hidden="false" customHeight="true" outlineLevel="0" collapsed="false">
      <c r="A11" s="5" t="s">
        <v>166</v>
      </c>
      <c r="B11" s="45" t="s">
        <v>167</v>
      </c>
      <c r="C11" s="5" t="s">
        <v>156</v>
      </c>
      <c r="D11" s="10" t="n">
        <v>1</v>
      </c>
      <c r="E11" s="46" t="n">
        <f aca="false">D11*Assumptions!$B$21</f>
        <v>1.37667034937536</v>
      </c>
      <c r="F11" s="47" t="n">
        <f aca="false">E11*Assumptions!$B$5</f>
        <v>185.850497165674</v>
      </c>
    </row>
    <row r="12" customFormat="false" ht="27.75" hidden="false" customHeight="true" outlineLevel="0" collapsed="false">
      <c r="A12" s="5" t="s">
        <v>168</v>
      </c>
      <c r="B12" s="45" t="s">
        <v>169</v>
      </c>
      <c r="C12" s="5" t="s">
        <v>156</v>
      </c>
      <c r="D12" s="10" t="n">
        <v>2.5</v>
      </c>
      <c r="E12" s="46" t="n">
        <f aca="false">D12*Assumptions!$B$21</f>
        <v>3.4416758734384</v>
      </c>
      <c r="F12" s="47" t="n">
        <f aca="false">E12*Assumptions!$B$5</f>
        <v>464.626242914184</v>
      </c>
    </row>
    <row r="13" customFormat="false" ht="27.75" hidden="false" customHeight="true" outlineLevel="0" collapsed="false">
      <c r="A13" s="5" t="s">
        <v>170</v>
      </c>
      <c r="B13" s="45" t="s">
        <v>171</v>
      </c>
      <c r="C13" s="5" t="s">
        <v>156</v>
      </c>
      <c r="D13" s="10" t="n">
        <v>0.7</v>
      </c>
      <c r="E13" s="46" t="n">
        <f aca="false">D13*Assumptions!$B$21</f>
        <v>0.963669244562752</v>
      </c>
      <c r="F13" s="47" t="n">
        <f aca="false">E13*Assumptions!$B$5</f>
        <v>130.095348015972</v>
      </c>
    </row>
    <row r="14" customFormat="false" ht="27.75" hidden="false" customHeight="true" outlineLevel="0" collapsed="false">
      <c r="A14" s="5" t="s">
        <v>172</v>
      </c>
      <c r="B14" s="45" t="s">
        <v>173</v>
      </c>
      <c r="C14" s="5" t="s">
        <v>156</v>
      </c>
      <c r="D14" s="10" t="n">
        <v>12</v>
      </c>
      <c r="E14" s="46" t="n">
        <f aca="false">D14*Assumptions!$B$21</f>
        <v>16.5200441925043</v>
      </c>
      <c r="F14" s="47" t="n">
        <f aca="false">E14*Assumptions!$B$5</f>
        <v>2230.20596598808</v>
      </c>
    </row>
    <row r="15" customFormat="false" ht="27.75" hidden="false" customHeight="true" outlineLevel="0" collapsed="false">
      <c r="A15" s="5" t="s">
        <v>174</v>
      </c>
      <c r="B15" s="45" t="s">
        <v>175</v>
      </c>
      <c r="C15" s="5" t="s">
        <v>156</v>
      </c>
      <c r="D15" s="10" t="n">
        <v>3.1</v>
      </c>
      <c r="E15" s="46" t="n">
        <f aca="false">D15*Assumptions!$B$21</f>
        <v>4.26767808306362</v>
      </c>
      <c r="F15" s="47" t="n">
        <f aca="false">E15*Assumptions!$B$5</f>
        <v>576.136541213588</v>
      </c>
    </row>
    <row r="16" customFormat="false" ht="27.75" hidden="false" customHeight="true" outlineLevel="0" collapsed="false">
      <c r="A16" s="5" t="s">
        <v>176</v>
      </c>
      <c r="B16" s="45" t="s">
        <v>177</v>
      </c>
      <c r="C16" s="5" t="s">
        <v>156</v>
      </c>
      <c r="D16" s="10" t="n">
        <v>9.2</v>
      </c>
      <c r="E16" s="46" t="n">
        <f aca="false">D16*Assumptions!$B$21</f>
        <v>12.6653672142533</v>
      </c>
      <c r="F16" s="47" t="n">
        <f aca="false">E16*Assumptions!$B$5</f>
        <v>1709.8245739242</v>
      </c>
    </row>
    <row r="17" customFormat="false" ht="27.75" hidden="false" customHeight="true" outlineLevel="0" collapsed="false">
      <c r="A17" s="5" t="s">
        <v>178</v>
      </c>
      <c r="B17" s="45" t="s">
        <v>179</v>
      </c>
      <c r="C17" s="5" t="s">
        <v>156</v>
      </c>
      <c r="D17" s="10" t="n">
        <v>11</v>
      </c>
      <c r="E17" s="46" t="n">
        <f aca="false">D17*Assumptions!$B$21</f>
        <v>15.143373843129</v>
      </c>
      <c r="F17" s="47" t="n">
        <f aca="false">E17*Assumptions!$B$5</f>
        <v>2044.35546882241</v>
      </c>
    </row>
    <row r="18" customFormat="false" ht="27.75" hidden="false" customHeight="true" outlineLevel="0" collapsed="false">
      <c r="A18" s="5" t="s">
        <v>180</v>
      </c>
      <c r="B18" s="45" t="s">
        <v>181</v>
      </c>
      <c r="C18" s="5" t="s">
        <v>156</v>
      </c>
      <c r="D18" s="10" t="n">
        <v>12</v>
      </c>
      <c r="E18" s="46" t="n">
        <f aca="false">D18*Assumptions!$B$21</f>
        <v>16.5200441925043</v>
      </c>
      <c r="F18" s="47" t="n">
        <f aca="false">E18*Assumptions!$B$5</f>
        <v>2230.20596598808</v>
      </c>
    </row>
    <row r="19" customFormat="false" ht="27.75" hidden="false" customHeight="true" outlineLevel="0" collapsed="false">
      <c r="A19" s="5" t="s">
        <v>182</v>
      </c>
      <c r="B19" s="45" t="s">
        <v>183</v>
      </c>
      <c r="C19" s="5" t="s">
        <v>156</v>
      </c>
      <c r="D19" s="10" t="n">
        <v>5.2</v>
      </c>
      <c r="E19" s="46" t="n">
        <f aca="false">D19*Assumptions!$B$21</f>
        <v>7.15868581675188</v>
      </c>
      <c r="F19" s="47" t="n">
        <f aca="false">E19*Assumptions!$B$5</f>
        <v>966.422585261503</v>
      </c>
    </row>
    <row r="20" customFormat="false" ht="27.75" hidden="false" customHeight="true" outlineLevel="0" collapsed="false">
      <c r="A20" s="5" t="s">
        <v>184</v>
      </c>
      <c r="B20" s="45" t="s">
        <v>185</v>
      </c>
      <c r="C20" s="5" t="s">
        <v>156</v>
      </c>
      <c r="D20" s="10" t="n">
        <v>7</v>
      </c>
      <c r="E20" s="46" t="n">
        <f aca="false">D20*Assumptions!$B$21</f>
        <v>9.63669244562752</v>
      </c>
      <c r="F20" s="47" t="n">
        <f aca="false">E20*Assumptions!$B$5</f>
        <v>1300.95348015972</v>
      </c>
    </row>
    <row r="21" customFormat="false" ht="27.75" hidden="false" customHeight="true" outlineLevel="0" collapsed="false">
      <c r="A21" s="5" t="s">
        <v>186</v>
      </c>
      <c r="B21" s="45" t="s">
        <v>187</v>
      </c>
      <c r="C21" s="5" t="s">
        <v>156</v>
      </c>
      <c r="D21" s="10" t="n">
        <v>7.7</v>
      </c>
      <c r="E21" s="46" t="n">
        <f aca="false">D21*Assumptions!$B$21</f>
        <v>10.6003616901903</v>
      </c>
      <c r="F21" s="47" t="n">
        <f aca="false">E21*Assumptions!$B$5</f>
        <v>1431.04882817569</v>
      </c>
    </row>
    <row r="22" customFormat="false" ht="27.75" hidden="false" customHeight="true" outlineLevel="0" collapsed="false">
      <c r="A22" s="5" t="s">
        <v>188</v>
      </c>
      <c r="B22" s="45" t="s">
        <v>189</v>
      </c>
      <c r="C22" s="5" t="s">
        <v>156</v>
      </c>
      <c r="D22" s="10" t="n">
        <v>5.5</v>
      </c>
      <c r="E22" s="46" t="n">
        <f aca="false">D22*Assumptions!$B$21</f>
        <v>7.57168692156448</v>
      </c>
      <c r="F22" s="47" t="n">
        <f aca="false">E22*Assumptions!$B$5</f>
        <v>1022.17773441121</v>
      </c>
    </row>
    <row r="23" customFormat="false" ht="27.75" hidden="false" customHeight="true" outlineLevel="0" collapsed="false">
      <c r="A23" s="5" t="s">
        <v>190</v>
      </c>
      <c r="B23" s="45" t="s">
        <v>191</v>
      </c>
      <c r="C23" s="5" t="s">
        <v>156</v>
      </c>
      <c r="D23" s="10" t="n">
        <v>24</v>
      </c>
      <c r="E23" s="46" t="n">
        <f aca="false">D23*Assumptions!$B$21</f>
        <v>33.0400883850087</v>
      </c>
      <c r="F23" s="47" t="n">
        <f aca="false">E23*Assumptions!$B$5</f>
        <v>4460.41193197617</v>
      </c>
    </row>
    <row r="24" customFormat="false" ht="27.75" hidden="false" customHeight="true" outlineLevel="0" collapsed="false">
      <c r="A24" s="5" t="s">
        <v>192</v>
      </c>
      <c r="B24" s="45" t="s">
        <v>193</v>
      </c>
      <c r="C24" s="5" t="s">
        <v>156</v>
      </c>
      <c r="D24" s="10" t="n">
        <v>92.5</v>
      </c>
      <c r="E24" s="46" t="n">
        <f aca="false">D24*Assumptions!$B$21</f>
        <v>127.342007317221</v>
      </c>
      <c r="F24" s="47" t="n">
        <f aca="false">E24*Assumptions!$B$5</f>
        <v>17191.1709878248</v>
      </c>
    </row>
    <row r="25" customFormat="false" ht="27.75" hidden="false" customHeight="true" outlineLevel="0" collapsed="false">
      <c r="A25" s="5" t="s">
        <v>194</v>
      </c>
      <c r="B25" s="45" t="s">
        <v>195</v>
      </c>
      <c r="C25" s="5" t="s">
        <v>156</v>
      </c>
      <c r="D25" s="10" t="n">
        <v>54</v>
      </c>
      <c r="E25" s="46" t="n">
        <f aca="false">D25*Assumptions!$B$21</f>
        <v>74.3401988662695</v>
      </c>
      <c r="F25" s="47" t="n">
        <f aca="false">E25*Assumptions!$B$5</f>
        <v>10035.9268469464</v>
      </c>
    </row>
    <row r="26" customFormat="false" ht="27.75" hidden="false" customHeight="true" outlineLevel="0" collapsed="false">
      <c r="A26" s="5" t="s">
        <v>196</v>
      </c>
      <c r="B26" s="45" t="s">
        <v>197</v>
      </c>
      <c r="C26" s="5" t="s">
        <v>156</v>
      </c>
      <c r="D26" s="10" t="n">
        <v>75</v>
      </c>
      <c r="E26" s="46" t="n">
        <f aca="false">D26*Assumptions!$B$21</f>
        <v>103.250276203152</v>
      </c>
      <c r="F26" s="47" t="n">
        <f aca="false">E26*Assumptions!$B$5</f>
        <v>13938.7872874255</v>
      </c>
    </row>
    <row r="27" customFormat="false" ht="27.75" hidden="false" customHeight="true" outlineLevel="0" collapsed="false">
      <c r="A27" s="5" t="s">
        <v>198</v>
      </c>
      <c r="B27" s="45" t="s">
        <v>199</v>
      </c>
      <c r="C27" s="5" t="s">
        <v>153</v>
      </c>
      <c r="D27" s="10" t="n">
        <v>69</v>
      </c>
      <c r="E27" s="46" t="n">
        <f aca="false">D27*Assumptions!$B$21</f>
        <v>94.9902541068999</v>
      </c>
      <c r="F27" s="47" t="n">
        <f aca="false">E27*Assumptions!$B$5</f>
        <v>12823.6843044315</v>
      </c>
    </row>
    <row r="28" customFormat="false" ht="27.75" hidden="false" customHeight="true" outlineLevel="0" collapsed="false">
      <c r="A28" s="5" t="s">
        <v>200</v>
      </c>
      <c r="B28" s="45" t="s">
        <v>201</v>
      </c>
      <c r="C28" s="5" t="s">
        <v>202</v>
      </c>
      <c r="D28" s="10" t="n">
        <v>7.6</v>
      </c>
      <c r="E28" s="46" t="n">
        <f aca="false">D28*Assumptions!$B$21</f>
        <v>10.4626946552527</v>
      </c>
      <c r="F28" s="47" t="n">
        <f aca="false">E28*Assumptions!$B$5</f>
        <v>1412.46377845912</v>
      </c>
    </row>
    <row r="29" customFormat="false" ht="15" hidden="false" customHeight="true" outlineLevel="0" collapsed="false">
      <c r="A29" s="4" t="s">
        <v>203</v>
      </c>
      <c r="B29" s="48"/>
      <c r="C29" s="48"/>
      <c r="D29" s="15" t="n">
        <f aca="false">SUM(D5:D28)</f>
        <v>608.59</v>
      </c>
      <c r="E29" s="15" t="n">
        <f aca="false">SUM(E5:E28)</f>
        <v>837.827807926351</v>
      </c>
      <c r="F29" s="16" t="n">
        <f aca="false">SUM(F5:F28)</f>
        <v>113106.754070057</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60"/>
    <col collapsed="false" customWidth="true" hidden="false" outlineLevel="0" max="3" min="3" style="1" width="22"/>
    <col collapsed="false" customWidth="true" hidden="false" outlineLevel="0" max="6" min="4" style="1" width="14"/>
    <col collapsed="false" customWidth="true" hidden="false" outlineLevel="0" max="7" min="7" style="1" width="12"/>
    <col collapsed="false" customWidth="true" hidden="false" outlineLevel="0" max="9" min="8" style="1" width="13"/>
  </cols>
  <sheetData>
    <row r="1" customFormat="false" ht="17.25" hidden="false" customHeight="true" outlineLevel="0" collapsed="false">
      <c r="A1" s="2" t="s">
        <v>204</v>
      </c>
      <c r="B1" s="2"/>
      <c r="C1" s="2"/>
      <c r="D1" s="2"/>
      <c r="E1" s="2"/>
      <c r="F1" s="2"/>
      <c r="G1" s="2"/>
      <c r="H1" s="2"/>
      <c r="I1" s="2"/>
    </row>
    <row r="2" customFormat="false" ht="27.75" hidden="false" customHeight="true" outlineLevel="0" collapsed="false">
      <c r="A2" s="43" t="s">
        <v>205</v>
      </c>
      <c r="B2" s="43"/>
      <c r="C2" s="43"/>
      <c r="D2" s="43"/>
      <c r="E2" s="43"/>
      <c r="F2" s="43"/>
      <c r="G2" s="43"/>
      <c r="H2" s="43"/>
      <c r="I2" s="43"/>
    </row>
    <row r="4" customFormat="false" ht="23.25" hidden="false" customHeight="true" outlineLevel="0" collapsed="false">
      <c r="A4" s="44" t="s">
        <v>146</v>
      </c>
      <c r="B4" s="44" t="s">
        <v>206</v>
      </c>
      <c r="C4" s="44" t="s">
        <v>207</v>
      </c>
      <c r="D4" s="44" t="s">
        <v>208</v>
      </c>
      <c r="E4" s="44" t="s">
        <v>209</v>
      </c>
      <c r="F4" s="44" t="s">
        <v>210</v>
      </c>
      <c r="G4" s="44" t="s">
        <v>211</v>
      </c>
      <c r="H4" s="44" t="s">
        <v>212</v>
      </c>
      <c r="I4" s="44" t="s">
        <v>213</v>
      </c>
    </row>
    <row r="5" customFormat="false" ht="27.75" hidden="false" customHeight="true" outlineLevel="0" collapsed="false">
      <c r="A5" s="5" t="s">
        <v>214</v>
      </c>
      <c r="B5" s="45" t="s">
        <v>215</v>
      </c>
      <c r="C5" s="5" t="s">
        <v>216</v>
      </c>
      <c r="D5" s="10" t="n">
        <v>20</v>
      </c>
      <c r="E5" s="49" t="n">
        <f aca="false">D5*Assumptions!$B$21</f>
        <v>27.5334069875072</v>
      </c>
      <c r="F5" s="50" t="n">
        <f aca="false">E5*Assumptions!$B$5</f>
        <v>3717.00994331347</v>
      </c>
      <c r="G5" s="51" t="n">
        <v>333</v>
      </c>
      <c r="H5" s="52" t="n">
        <f aca="false">E5/G5</f>
        <v>0.082682903866388</v>
      </c>
      <c r="I5" s="53" t="n">
        <f aca="false">F5/G5</f>
        <v>11.1621920219624</v>
      </c>
    </row>
    <row r="6" customFormat="false" ht="27.75" hidden="false" customHeight="true" outlineLevel="0" collapsed="false">
      <c r="A6" s="5" t="s">
        <v>217</v>
      </c>
      <c r="B6" s="45" t="s">
        <v>218</v>
      </c>
      <c r="C6" s="5" t="s">
        <v>216</v>
      </c>
      <c r="D6" s="10" t="n">
        <v>40</v>
      </c>
      <c r="E6" s="49" t="n">
        <f aca="false">D6*Assumptions!$B$21</f>
        <v>55.0668139750144</v>
      </c>
      <c r="F6" s="50" t="n">
        <f aca="false">E6*Assumptions!$B$5</f>
        <v>7434.01988662695</v>
      </c>
      <c r="G6" s="51" t="n">
        <v>333</v>
      </c>
      <c r="H6" s="52" t="n">
        <f aca="false">E6/G6</f>
        <v>0.165365807732776</v>
      </c>
      <c r="I6" s="53" t="n">
        <f aca="false">F6/G6</f>
        <v>22.3243840439248</v>
      </c>
    </row>
    <row r="7" customFormat="false" ht="27.75" hidden="false" customHeight="true" outlineLevel="0" collapsed="false">
      <c r="A7" s="5" t="s">
        <v>219</v>
      </c>
      <c r="B7" s="45" t="s">
        <v>220</v>
      </c>
      <c r="C7" s="5" t="s">
        <v>216</v>
      </c>
      <c r="D7" s="10" t="n">
        <v>55</v>
      </c>
      <c r="E7" s="49" t="n">
        <f aca="false">D7*Assumptions!$B$21</f>
        <v>75.7168692156448</v>
      </c>
      <c r="F7" s="50" t="n">
        <f aca="false">E7*Assumptions!$B$5</f>
        <v>10221.7773441121</v>
      </c>
      <c r="G7" s="51" t="n">
        <v>154</v>
      </c>
      <c r="H7" s="52" t="n">
        <f aca="false">E7/G7</f>
        <v>0.491667981919772</v>
      </c>
      <c r="I7" s="53" t="n">
        <f aca="false">F7/G7</f>
        <v>66.3751775591692</v>
      </c>
    </row>
    <row r="8" customFormat="false" ht="27.75" hidden="false" customHeight="true" outlineLevel="0" collapsed="false">
      <c r="A8" s="5" t="s">
        <v>221</v>
      </c>
      <c r="B8" s="45" t="s">
        <v>222</v>
      </c>
      <c r="C8" s="5" t="s">
        <v>216</v>
      </c>
      <c r="D8" s="10" t="n">
        <v>55</v>
      </c>
      <c r="E8" s="49" t="n">
        <f aca="false">D8*Assumptions!$B$21</f>
        <v>75.7168692156448</v>
      </c>
      <c r="F8" s="50" t="n">
        <f aca="false">E8*Assumptions!$B$5</f>
        <v>10221.7773441121</v>
      </c>
      <c r="G8" s="51" t="n">
        <v>154</v>
      </c>
      <c r="H8" s="52" t="n">
        <f aca="false">E8/G8</f>
        <v>0.491667981919772</v>
      </c>
      <c r="I8" s="53" t="n">
        <f aca="false">F8/G8</f>
        <v>66.3751775591692</v>
      </c>
    </row>
    <row r="9" customFormat="false" ht="27.75" hidden="false" customHeight="true" outlineLevel="0" collapsed="false">
      <c r="A9" s="5" t="s">
        <v>223</v>
      </c>
      <c r="B9" s="45" t="s">
        <v>224</v>
      </c>
      <c r="C9" s="5" t="s">
        <v>216</v>
      </c>
      <c r="D9" s="10" t="n">
        <v>45</v>
      </c>
      <c r="E9" s="49" t="n">
        <f aca="false">D9*Assumptions!$B$21</f>
        <v>61.9501657218912</v>
      </c>
      <c r="F9" s="50" t="n">
        <f aca="false">E9*Assumptions!$B$5</f>
        <v>8363.27237245532</v>
      </c>
      <c r="G9" s="51" t="n">
        <v>100</v>
      </c>
      <c r="H9" s="52" t="n">
        <f aca="false">E9/G9</f>
        <v>0.619501657218912</v>
      </c>
      <c r="I9" s="53" t="n">
        <f aca="false">F9/G9</f>
        <v>83.6327237245532</v>
      </c>
    </row>
    <row r="10" customFormat="false" ht="27.75" hidden="false" customHeight="true" outlineLevel="0" collapsed="false">
      <c r="A10" s="5" t="s">
        <v>225</v>
      </c>
      <c r="B10" s="45" t="s">
        <v>226</v>
      </c>
      <c r="C10" s="5" t="s">
        <v>227</v>
      </c>
      <c r="D10" s="10" t="n">
        <v>18</v>
      </c>
      <c r="E10" s="49" t="n">
        <f aca="false">D10*Assumptions!$B$21</f>
        <v>24.7800662887565</v>
      </c>
      <c r="F10" s="50" t="n">
        <f aca="false">E10*Assumptions!$B$5</f>
        <v>3345.30894898213</v>
      </c>
      <c r="G10" s="51" t="n">
        <v>27</v>
      </c>
      <c r="H10" s="52" t="n">
        <f aca="false">E10/G10</f>
        <v>0.917780232916907</v>
      </c>
      <c r="I10" s="53" t="n">
        <f aca="false">F10/G10</f>
        <v>123.900331443782</v>
      </c>
    </row>
    <row r="11" customFormat="false" ht="27.75" hidden="false" customHeight="true" outlineLevel="0" collapsed="false">
      <c r="A11" s="5" t="s">
        <v>228</v>
      </c>
      <c r="B11" s="45" t="s">
        <v>229</v>
      </c>
      <c r="C11" s="5" t="s">
        <v>230</v>
      </c>
      <c r="D11" s="10" t="n">
        <v>5.8</v>
      </c>
      <c r="E11" s="49" t="n">
        <f aca="false">D11*Assumptions!$B$21</f>
        <v>7.98468802637709</v>
      </c>
      <c r="F11" s="50" t="n">
        <f aca="false">E11*Assumptions!$B$5</f>
        <v>1077.93288356091</v>
      </c>
      <c r="G11" s="51" t="n">
        <v>50</v>
      </c>
      <c r="H11" s="52" t="n">
        <f aca="false">E11/G11</f>
        <v>0.159693760527542</v>
      </c>
      <c r="I11" s="53" t="n">
        <f aca="false">F11/G11</f>
        <v>21.5586576712181</v>
      </c>
    </row>
    <row r="12" customFormat="false" ht="27.75" hidden="false" customHeight="true" outlineLevel="0" collapsed="false">
      <c r="A12" s="5" t="s">
        <v>231</v>
      </c>
      <c r="B12" s="45" t="s">
        <v>232</v>
      </c>
      <c r="C12" s="5" t="s">
        <v>233</v>
      </c>
      <c r="D12" s="10" t="n">
        <v>2.5</v>
      </c>
      <c r="E12" s="49" t="n">
        <f aca="false">D12*Assumptions!$B$21</f>
        <v>3.4416758734384</v>
      </c>
      <c r="F12" s="50" t="n">
        <f aca="false">E12*Assumptions!$B$5</f>
        <v>464.626242914184</v>
      </c>
      <c r="G12" s="51" t="n">
        <v>25</v>
      </c>
      <c r="H12" s="52" t="n">
        <f aca="false">E12/G12</f>
        <v>0.137667034937536</v>
      </c>
      <c r="I12" s="53" t="n">
        <f aca="false">F12/G12</f>
        <v>18.5850497165674</v>
      </c>
    </row>
    <row r="13" customFormat="false" ht="27.75" hidden="false" customHeight="true" outlineLevel="0" collapsed="false">
      <c r="A13" s="5" t="s">
        <v>234</v>
      </c>
      <c r="B13" s="45" t="s">
        <v>235</v>
      </c>
      <c r="C13" s="5" t="s">
        <v>216</v>
      </c>
      <c r="D13" s="10" t="n">
        <v>115</v>
      </c>
      <c r="E13" s="49" t="n">
        <f aca="false">D13*Assumptions!$B$21</f>
        <v>158.317090178166</v>
      </c>
      <c r="F13" s="50" t="n">
        <f aca="false">E13*Assumptions!$B$5</f>
        <v>21372.8071740525</v>
      </c>
      <c r="G13" s="51" t="n">
        <v>333</v>
      </c>
      <c r="H13" s="52" t="n">
        <f aca="false">E13/G13</f>
        <v>0.475426697231731</v>
      </c>
      <c r="I13" s="53" t="n">
        <f aca="false">F13/G13</f>
        <v>64.1826041262837</v>
      </c>
    </row>
    <row r="14" customFormat="false" ht="27.75" hidden="false" customHeight="true" outlineLevel="0" collapsed="false">
      <c r="A14" s="5" t="s">
        <v>236</v>
      </c>
      <c r="B14" s="45" t="s">
        <v>237</v>
      </c>
      <c r="C14" s="5" t="s">
        <v>216</v>
      </c>
      <c r="D14" s="10" t="n">
        <v>98</v>
      </c>
      <c r="E14" s="49" t="n">
        <f aca="false">D14*Assumptions!$B$21</f>
        <v>134.913694238785</v>
      </c>
      <c r="F14" s="50" t="n">
        <f aca="false">E14*Assumptions!$B$5</f>
        <v>18213.348722236</v>
      </c>
      <c r="G14" s="51" t="n">
        <v>333</v>
      </c>
      <c r="H14" s="52" t="n">
        <f aca="false">E14/G14</f>
        <v>0.405146228945301</v>
      </c>
      <c r="I14" s="53" t="n">
        <f aca="false">F14/G14</f>
        <v>54.6947409076157</v>
      </c>
    </row>
    <row r="15" customFormat="false" ht="27.75" hidden="false" customHeight="true" outlineLevel="0" collapsed="false">
      <c r="A15" s="5" t="s">
        <v>238</v>
      </c>
      <c r="B15" s="45" t="s">
        <v>239</v>
      </c>
      <c r="C15" s="5" t="s">
        <v>240</v>
      </c>
      <c r="D15" s="10" t="n">
        <v>115</v>
      </c>
      <c r="E15" s="49" t="n">
        <f aca="false">D15*Assumptions!$B$21</f>
        <v>158.317090178166</v>
      </c>
      <c r="F15" s="50" t="n">
        <f aca="false">E15*Assumptions!$B$5</f>
        <v>21372.8071740525</v>
      </c>
      <c r="G15" s="51" t="n">
        <v>1</v>
      </c>
      <c r="H15" s="52" t="n">
        <f aca="false">E15/G15</f>
        <v>158.317090178166</v>
      </c>
      <c r="I15" s="53" t="n">
        <f aca="false">F15/G15</f>
        <v>21372.8071740525</v>
      </c>
    </row>
    <row r="16" customFormat="false" ht="27.75" hidden="false" customHeight="true" outlineLevel="0" collapsed="false">
      <c r="A16" s="5" t="s">
        <v>241</v>
      </c>
      <c r="B16" s="45" t="s">
        <v>242</v>
      </c>
      <c r="C16" s="5" t="s">
        <v>240</v>
      </c>
      <c r="D16" s="10" t="n">
        <v>275</v>
      </c>
      <c r="E16" s="49" t="n">
        <f aca="false">D16*Assumptions!$B$21</f>
        <v>378.584346078224</v>
      </c>
      <c r="F16" s="50" t="n">
        <f aca="false">E16*Assumptions!$B$5</f>
        <v>51108.8867205603</v>
      </c>
      <c r="G16" s="51" t="n">
        <v>1</v>
      </c>
      <c r="H16" s="52" t="n">
        <f aca="false">E16/G16</f>
        <v>378.584346078224</v>
      </c>
      <c r="I16" s="53" t="n">
        <f aca="false">F16/G16</f>
        <v>51108.8867205603</v>
      </c>
    </row>
    <row r="17" customFormat="false" ht="27.75" hidden="false" customHeight="true" outlineLevel="0" collapsed="false">
      <c r="A17" s="5" t="s">
        <v>243</v>
      </c>
      <c r="B17" s="45" t="s">
        <v>244</v>
      </c>
      <c r="C17" s="5" t="s">
        <v>240</v>
      </c>
      <c r="D17" s="10" t="n">
        <v>65</v>
      </c>
      <c r="E17" s="49" t="n">
        <f aca="false">D17*Assumptions!$B$21</f>
        <v>89.4835727093984</v>
      </c>
      <c r="F17" s="50" t="n">
        <f aca="false">E17*Assumptions!$B$5</f>
        <v>12080.2823157688</v>
      </c>
      <c r="G17" s="51" t="n">
        <v>4</v>
      </c>
      <c r="H17" s="52" t="n">
        <f aca="false">E17/G17</f>
        <v>22.3708931773496</v>
      </c>
      <c r="I17" s="53" t="n">
        <f aca="false">F17/G17</f>
        <v>3020.0705789422</v>
      </c>
    </row>
    <row r="18" customFormat="false" ht="27.75" hidden="false" customHeight="true" outlineLevel="0" collapsed="false">
      <c r="A18" s="5" t="s">
        <v>245</v>
      </c>
      <c r="B18" s="45" t="s">
        <v>246</v>
      </c>
      <c r="C18" s="5" t="s">
        <v>227</v>
      </c>
      <c r="D18" s="10" t="n">
        <v>25</v>
      </c>
      <c r="E18" s="49" t="n">
        <f aca="false">D18*Assumptions!$B$21</f>
        <v>34.416758734384</v>
      </c>
      <c r="F18" s="50" t="n">
        <f aca="false">E18*Assumptions!$B$5</f>
        <v>4646.26242914184</v>
      </c>
      <c r="G18" s="51" t="n">
        <v>50</v>
      </c>
      <c r="H18" s="52" t="n">
        <f aca="false">E18/G18</f>
        <v>0.68833517468768</v>
      </c>
      <c r="I18" s="53" t="n">
        <f aca="false">F18/G18</f>
        <v>92.9252485828368</v>
      </c>
    </row>
    <row r="19" customFormat="false" ht="27.75" hidden="false" customHeight="true" outlineLevel="0" collapsed="false">
      <c r="A19" s="5" t="s">
        <v>247</v>
      </c>
      <c r="B19" s="45" t="s">
        <v>248</v>
      </c>
      <c r="C19" s="5" t="s">
        <v>216</v>
      </c>
      <c r="D19" s="10" t="n">
        <v>42</v>
      </c>
      <c r="E19" s="49" t="n">
        <f aca="false">D19*Assumptions!$B$21</f>
        <v>57.8201546737652</v>
      </c>
      <c r="F19" s="50" t="n">
        <f aca="false">E19*Assumptions!$B$5</f>
        <v>7805.7208809583</v>
      </c>
      <c r="G19" s="51" t="n">
        <v>200</v>
      </c>
      <c r="H19" s="52" t="n">
        <f aca="false">E19/G19</f>
        <v>0.289100773368826</v>
      </c>
      <c r="I19" s="53" t="n">
        <f aca="false">F19/G19</f>
        <v>39.0286044047915</v>
      </c>
    </row>
    <row r="20" customFormat="false" ht="27.75" hidden="false" customHeight="true" outlineLevel="0" collapsed="false">
      <c r="A20" s="5" t="s">
        <v>249</v>
      </c>
      <c r="B20" s="45" t="s">
        <v>250</v>
      </c>
      <c r="C20" s="5" t="s">
        <v>227</v>
      </c>
      <c r="D20" s="10" t="n">
        <v>12</v>
      </c>
      <c r="E20" s="49" t="n">
        <f aca="false">D20*Assumptions!$B$21</f>
        <v>16.5200441925043</v>
      </c>
      <c r="F20" s="50" t="n">
        <f aca="false">E20*Assumptions!$B$5</f>
        <v>2230.20596598808</v>
      </c>
      <c r="G20" s="51" t="n">
        <v>80</v>
      </c>
      <c r="H20" s="52" t="n">
        <f aca="false">E20/G20</f>
        <v>0.206500552406304</v>
      </c>
      <c r="I20" s="53" t="n">
        <f aca="false">F20/G20</f>
        <v>27.8775745748511</v>
      </c>
    </row>
    <row r="21" customFormat="false" ht="27.75" hidden="false" customHeight="true" outlineLevel="0" collapsed="false">
      <c r="A21" s="5" t="s">
        <v>251</v>
      </c>
      <c r="B21" s="45" t="s">
        <v>252</v>
      </c>
      <c r="C21" s="5" t="s">
        <v>216</v>
      </c>
      <c r="D21" s="10" t="n">
        <v>40</v>
      </c>
      <c r="E21" s="49" t="n">
        <f aca="false">D21*Assumptions!$B$21</f>
        <v>55.0668139750144</v>
      </c>
      <c r="F21" s="50" t="n">
        <f aca="false">E21*Assumptions!$B$5</f>
        <v>7434.01988662695</v>
      </c>
      <c r="G21" s="51" t="n">
        <v>133</v>
      </c>
      <c r="H21" s="52" t="n">
        <f aca="false">E21/G21</f>
        <v>0.41403619530086</v>
      </c>
      <c r="I21" s="53" t="n">
        <f aca="false">F21/G21</f>
        <v>55.8948863656161</v>
      </c>
    </row>
    <row r="22" customFormat="false" ht="27.75" hidden="false" customHeight="true" outlineLevel="0" collapsed="false">
      <c r="A22" s="5" t="s">
        <v>253</v>
      </c>
      <c r="B22" s="45" t="s">
        <v>254</v>
      </c>
      <c r="C22" s="5" t="s">
        <v>216</v>
      </c>
      <c r="D22" s="10" t="n">
        <v>138</v>
      </c>
      <c r="E22" s="49" t="n">
        <f aca="false">D22*Assumptions!$B$21</f>
        <v>189.9805082138</v>
      </c>
      <c r="F22" s="50" t="n">
        <f aca="false">E22*Assumptions!$B$5</f>
        <v>25647.368608863</v>
      </c>
      <c r="G22" s="51" t="n">
        <v>606</v>
      </c>
      <c r="H22" s="52" t="n">
        <f aca="false">E22/G22</f>
        <v>0.313499188471617</v>
      </c>
      <c r="I22" s="53" t="n">
        <f aca="false">F22/G22</f>
        <v>42.3223904436683</v>
      </c>
    </row>
    <row r="23" customFormat="false" ht="27.75" hidden="false" customHeight="true" outlineLevel="0" collapsed="false">
      <c r="A23" s="5" t="s">
        <v>255</v>
      </c>
      <c r="B23" s="45" t="s">
        <v>256</v>
      </c>
      <c r="C23" s="5" t="s">
        <v>216</v>
      </c>
      <c r="D23" s="10" t="n">
        <v>98</v>
      </c>
      <c r="E23" s="49" t="n">
        <f aca="false">D23*Assumptions!$B$21</f>
        <v>134.913694238785</v>
      </c>
      <c r="F23" s="50" t="n">
        <f aca="false">E23*Assumptions!$B$5</f>
        <v>18213.348722236</v>
      </c>
      <c r="G23" s="51" t="n">
        <v>400</v>
      </c>
      <c r="H23" s="52" t="n">
        <f aca="false">E23/G23</f>
        <v>0.337284235596963</v>
      </c>
      <c r="I23" s="53" t="n">
        <f aca="false">F23/G23</f>
        <v>45.5333718055901</v>
      </c>
    </row>
    <row r="24" customFormat="false" ht="27.75" hidden="false" customHeight="true" outlineLevel="0" collapsed="false">
      <c r="A24" s="5" t="s">
        <v>257</v>
      </c>
      <c r="B24" s="45" t="s">
        <v>258</v>
      </c>
      <c r="C24" s="5" t="s">
        <v>227</v>
      </c>
      <c r="D24" s="10" t="n">
        <v>52</v>
      </c>
      <c r="E24" s="49" t="n">
        <f aca="false">D24*Assumptions!$B$21</f>
        <v>71.5868581675188</v>
      </c>
      <c r="F24" s="50" t="n">
        <f aca="false">E24*Assumptions!$B$5</f>
        <v>9664.22585261503</v>
      </c>
      <c r="G24" s="51" t="n">
        <v>100</v>
      </c>
      <c r="H24" s="52" t="n">
        <f aca="false">E24/G24</f>
        <v>0.715868581675188</v>
      </c>
      <c r="I24" s="53" t="n">
        <f aca="false">F24/G24</f>
        <v>96.6422585261503</v>
      </c>
    </row>
    <row r="25" customFormat="false" ht="27.75" hidden="false" customHeight="true" outlineLevel="0" collapsed="false">
      <c r="A25" s="5" t="s">
        <v>259</v>
      </c>
      <c r="B25" s="45" t="s">
        <v>260</v>
      </c>
      <c r="C25" s="5" t="s">
        <v>216</v>
      </c>
      <c r="D25" s="10" t="n">
        <v>65</v>
      </c>
      <c r="E25" s="49" t="n">
        <f aca="false">D25*Assumptions!$B$21</f>
        <v>89.4835727093984</v>
      </c>
      <c r="F25" s="50" t="n">
        <f aca="false">E25*Assumptions!$B$5</f>
        <v>12080.2823157688</v>
      </c>
      <c r="G25" s="51" t="n">
        <v>167</v>
      </c>
      <c r="H25" s="52" t="n">
        <f aca="false">E25/G25</f>
        <v>0.535829776702985</v>
      </c>
      <c r="I25" s="53" t="n">
        <f aca="false">F25/G25</f>
        <v>72.3370198549029</v>
      </c>
    </row>
    <row r="26" customFormat="false" ht="27.75" hidden="false" customHeight="true" outlineLevel="0" collapsed="false">
      <c r="A26" s="5" t="s">
        <v>261</v>
      </c>
      <c r="B26" s="45" t="s">
        <v>262</v>
      </c>
      <c r="C26" s="5" t="s">
        <v>216</v>
      </c>
      <c r="D26" s="10" t="n">
        <v>76</v>
      </c>
      <c r="E26" s="49" t="n">
        <f aca="false">D26*Assumptions!$B$21</f>
        <v>104.626946552527</v>
      </c>
      <c r="F26" s="50" t="n">
        <f aca="false">E26*Assumptions!$B$5</f>
        <v>14124.6377845912</v>
      </c>
      <c r="G26" s="51" t="n">
        <v>133</v>
      </c>
      <c r="H26" s="52" t="n">
        <f aca="false">E26/G26</f>
        <v>0.786668771071635</v>
      </c>
      <c r="I26" s="53" t="n">
        <f aca="false">F26/G26</f>
        <v>106.200284094671</v>
      </c>
    </row>
    <row r="27" customFormat="false" ht="27.75" hidden="false" customHeight="true" outlineLevel="0" collapsed="false">
      <c r="A27" s="5" t="s">
        <v>263</v>
      </c>
      <c r="B27" s="45" t="s">
        <v>264</v>
      </c>
      <c r="C27" s="5" t="s">
        <v>216</v>
      </c>
      <c r="D27" s="10" t="n">
        <v>27</v>
      </c>
      <c r="E27" s="49" t="n">
        <f aca="false">D27*Assumptions!$B$21</f>
        <v>37.1700994331347</v>
      </c>
      <c r="F27" s="50" t="n">
        <f aca="false">E27*Assumptions!$B$5</f>
        <v>5017.96342347319</v>
      </c>
      <c r="G27" s="51" t="n">
        <v>100</v>
      </c>
      <c r="H27" s="52" t="n">
        <f aca="false">E27/G27</f>
        <v>0.371700994331347</v>
      </c>
      <c r="I27" s="53" t="n">
        <f aca="false">F27/G27</f>
        <v>50.1796342347319</v>
      </c>
    </row>
    <row r="28" customFormat="false" ht="27.75" hidden="false" customHeight="true" outlineLevel="0" collapsed="false">
      <c r="A28" s="5" t="s">
        <v>265</v>
      </c>
      <c r="B28" s="45" t="s">
        <v>266</v>
      </c>
      <c r="C28" s="5" t="s">
        <v>216</v>
      </c>
      <c r="D28" s="10" t="n">
        <v>28</v>
      </c>
      <c r="E28" s="49" t="n">
        <f aca="false">D28*Assumptions!$B$21</f>
        <v>38.5467697825101</v>
      </c>
      <c r="F28" s="50" t="n">
        <f aca="false">E28*Assumptions!$B$5</f>
        <v>5203.81392063886</v>
      </c>
      <c r="G28" s="51" t="n">
        <v>80</v>
      </c>
      <c r="H28" s="52" t="n">
        <f aca="false">E28/G28</f>
        <v>0.481834622281376</v>
      </c>
      <c r="I28" s="53" t="n">
        <f aca="false">F28/G28</f>
        <v>65.0476740079858</v>
      </c>
    </row>
    <row r="29" customFormat="false" ht="27.75" hidden="false" customHeight="true" outlineLevel="0" collapsed="false">
      <c r="A29" s="5" t="s">
        <v>267</v>
      </c>
      <c r="B29" s="45" t="s">
        <v>268</v>
      </c>
      <c r="C29" s="5" t="s">
        <v>216</v>
      </c>
      <c r="D29" s="10" t="n">
        <v>20</v>
      </c>
      <c r="E29" s="49" t="n">
        <f aca="false">D29*Assumptions!$B$21</f>
        <v>27.5334069875072</v>
      </c>
      <c r="F29" s="50" t="n">
        <f aca="false">E29*Assumptions!$B$5</f>
        <v>3717.00994331347</v>
      </c>
      <c r="G29" s="51" t="n">
        <v>50</v>
      </c>
      <c r="H29" s="52" t="n">
        <f aca="false">E29/G29</f>
        <v>0.550668139750144</v>
      </c>
      <c r="I29" s="53" t="n">
        <f aca="false">F29/G29</f>
        <v>74.3401988662695</v>
      </c>
    </row>
    <row r="30" customFormat="false" ht="27.75" hidden="false" customHeight="true" outlineLevel="0" collapsed="false">
      <c r="A30" s="5" t="s">
        <v>269</v>
      </c>
      <c r="B30" s="45" t="s">
        <v>270</v>
      </c>
      <c r="C30" s="5" t="s">
        <v>216</v>
      </c>
      <c r="D30" s="10" t="n">
        <v>28</v>
      </c>
      <c r="E30" s="49" t="n">
        <f aca="false">D30*Assumptions!$B$21</f>
        <v>38.5467697825101</v>
      </c>
      <c r="F30" s="50" t="n">
        <f aca="false">E30*Assumptions!$B$5</f>
        <v>5203.81392063886</v>
      </c>
      <c r="G30" s="51" t="n">
        <v>133</v>
      </c>
      <c r="H30" s="52" t="n">
        <f aca="false">E30/G30</f>
        <v>0.289825336710602</v>
      </c>
      <c r="I30" s="53" t="n">
        <f aca="false">F30/G30</f>
        <v>39.1264204559313</v>
      </c>
    </row>
    <row r="31" customFormat="false" ht="27.75" hidden="false" customHeight="true" outlineLevel="0" collapsed="false">
      <c r="A31" s="5" t="s">
        <v>271</v>
      </c>
      <c r="B31" s="45" t="s">
        <v>272</v>
      </c>
      <c r="C31" s="5" t="s">
        <v>230</v>
      </c>
      <c r="D31" s="10" t="n">
        <v>96</v>
      </c>
      <c r="E31" s="49" t="n">
        <f aca="false">D31*Assumptions!$B$21</f>
        <v>132.160353540035</v>
      </c>
      <c r="F31" s="50" t="n">
        <f aca="false">E31*Assumptions!$B$5</f>
        <v>17841.6477279047</v>
      </c>
      <c r="G31" s="51" t="n">
        <v>100</v>
      </c>
      <c r="H31" s="52" t="n">
        <f aca="false">E31/G31</f>
        <v>1.32160353540035</v>
      </c>
      <c r="I31" s="53" t="n">
        <f aca="false">F31/G31</f>
        <v>178.416477279047</v>
      </c>
    </row>
    <row r="32" customFormat="false" ht="27.75" hidden="false" customHeight="true" outlineLevel="0" collapsed="false">
      <c r="A32" s="5" t="s">
        <v>273</v>
      </c>
      <c r="B32" s="45" t="s">
        <v>274</v>
      </c>
      <c r="C32" s="5" t="s">
        <v>227</v>
      </c>
      <c r="D32" s="10" t="n">
        <v>17</v>
      </c>
      <c r="E32" s="49" t="n">
        <f aca="false">D32*Assumptions!$B$21</f>
        <v>23.4033959393811</v>
      </c>
      <c r="F32" s="50" t="n">
        <f aca="false">E32*Assumptions!$B$5</f>
        <v>3159.45845181645</v>
      </c>
      <c r="G32" s="51" t="n">
        <v>67</v>
      </c>
      <c r="H32" s="52" t="n">
        <f aca="false">E32/G32</f>
        <v>0.349304417005689</v>
      </c>
      <c r="I32" s="53" t="n">
        <f aca="false">F32/G32</f>
        <v>47.1560962957679</v>
      </c>
    </row>
    <row r="33" customFormat="false" ht="27.75" hidden="false" customHeight="true" outlineLevel="0" collapsed="false">
      <c r="A33" s="5" t="s">
        <v>275</v>
      </c>
      <c r="B33" s="45" t="s">
        <v>276</v>
      </c>
      <c r="C33" s="5" t="s">
        <v>227</v>
      </c>
      <c r="D33" s="10" t="n">
        <v>54</v>
      </c>
      <c r="E33" s="49" t="n">
        <f aca="false">D33*Assumptions!$B$21</f>
        <v>74.3401988662695</v>
      </c>
      <c r="F33" s="50" t="n">
        <f aca="false">E33*Assumptions!$B$5</f>
        <v>10035.9268469464</v>
      </c>
      <c r="G33" s="51" t="n">
        <v>33</v>
      </c>
      <c r="H33" s="52" t="n">
        <f aca="false">E33/G33</f>
        <v>2.25273329897786</v>
      </c>
      <c r="I33" s="53" t="n">
        <f aca="false">F33/G33</f>
        <v>304.118995362011</v>
      </c>
    </row>
    <row r="34" customFormat="false" ht="27.75" hidden="false" customHeight="true" outlineLevel="0" collapsed="false">
      <c r="A34" s="5" t="s">
        <v>277</v>
      </c>
      <c r="B34" s="45" t="s">
        <v>278</v>
      </c>
      <c r="C34" s="5" t="s">
        <v>202</v>
      </c>
      <c r="D34" s="10" t="n">
        <v>6</v>
      </c>
      <c r="E34" s="49" t="n">
        <f aca="false">D34*Assumptions!$B$21</f>
        <v>8.26002209625217</v>
      </c>
      <c r="F34" s="50" t="n">
        <f aca="false">E34*Assumptions!$B$5</f>
        <v>1115.10298299404</v>
      </c>
      <c r="G34" s="51" t="n">
        <v>1</v>
      </c>
      <c r="H34" s="52" t="n">
        <f aca="false">E34/G34</f>
        <v>8.26002209625217</v>
      </c>
      <c r="I34" s="53" t="n">
        <f aca="false">F34/G34</f>
        <v>1115.10298299404</v>
      </c>
    </row>
    <row r="35" customFormat="false" ht="27.75" hidden="false" customHeight="true" outlineLevel="0" collapsed="false">
      <c r="A35" s="5" t="s">
        <v>279</v>
      </c>
      <c r="B35" s="45" t="s">
        <v>280</v>
      </c>
      <c r="C35" s="5" t="s">
        <v>202</v>
      </c>
      <c r="D35" s="10" t="n">
        <v>7</v>
      </c>
      <c r="E35" s="49" t="n">
        <f aca="false">D35*Assumptions!$B$21</f>
        <v>9.63669244562752</v>
      </c>
      <c r="F35" s="50" t="n">
        <f aca="false">E35*Assumptions!$B$5</f>
        <v>1300.95348015972</v>
      </c>
      <c r="G35" s="51" t="n">
        <v>1</v>
      </c>
      <c r="H35" s="52" t="n">
        <f aca="false">E35/G35</f>
        <v>9.63669244562752</v>
      </c>
      <c r="I35" s="53" t="n">
        <f aca="false">F35/G35</f>
        <v>1300.95348015972</v>
      </c>
    </row>
    <row r="36" customFormat="false" ht="27.75" hidden="false" customHeight="true" outlineLevel="0" collapsed="false">
      <c r="A36" s="5" t="s">
        <v>281</v>
      </c>
      <c r="B36" s="45" t="s">
        <v>282</v>
      </c>
      <c r="C36" s="5" t="s">
        <v>216</v>
      </c>
      <c r="D36" s="10" t="n">
        <v>70</v>
      </c>
      <c r="E36" s="49" t="n">
        <f aca="false">D36*Assumptions!$B$21</f>
        <v>96.3669244562752</v>
      </c>
      <c r="F36" s="50" t="n">
        <f aca="false">E36*Assumptions!$B$5</f>
        <v>13009.5348015972</v>
      </c>
      <c r="G36" s="51" t="n">
        <v>250</v>
      </c>
      <c r="H36" s="52" t="n">
        <f aca="false">E36/G36</f>
        <v>0.385467697825101</v>
      </c>
      <c r="I36" s="53" t="n">
        <f aca="false">F36/G36</f>
        <v>52.0381392063886</v>
      </c>
    </row>
    <row r="37" customFormat="false" ht="27.75" hidden="false" customHeight="true" outlineLevel="0" collapsed="false">
      <c r="A37" s="5" t="s">
        <v>283</v>
      </c>
      <c r="B37" s="45" t="s">
        <v>284</v>
      </c>
      <c r="C37" s="5" t="s">
        <v>216</v>
      </c>
      <c r="D37" s="10" t="n">
        <v>98</v>
      </c>
      <c r="E37" s="49" t="n">
        <f aca="false">D37*Assumptions!$B$21</f>
        <v>134.913694238785</v>
      </c>
      <c r="F37" s="50" t="n">
        <f aca="false">E37*Assumptions!$B$5</f>
        <v>18213.348722236</v>
      </c>
      <c r="G37" s="51" t="n">
        <v>250</v>
      </c>
      <c r="H37" s="52" t="n">
        <f aca="false">E37/G37</f>
        <v>0.539654776955141</v>
      </c>
      <c r="I37" s="53" t="n">
        <f aca="false">F37/G37</f>
        <v>72.8533948889441</v>
      </c>
    </row>
    <row r="38" customFormat="false" ht="27.75" hidden="false" customHeight="true" outlineLevel="0" collapsed="false">
      <c r="A38" s="5" t="s">
        <v>285</v>
      </c>
      <c r="B38" s="45" t="s">
        <v>286</v>
      </c>
      <c r="C38" s="5" t="s">
        <v>230</v>
      </c>
      <c r="D38" s="10" t="n">
        <v>9.2</v>
      </c>
      <c r="E38" s="49" t="n">
        <f aca="false">D38*Assumptions!$B$21</f>
        <v>12.6653672142533</v>
      </c>
      <c r="F38" s="50" t="n">
        <f aca="false">E38*Assumptions!$B$5</f>
        <v>1709.8245739242</v>
      </c>
      <c r="G38" s="51" t="n">
        <v>14</v>
      </c>
      <c r="H38" s="52" t="n">
        <f aca="false">E38/G38</f>
        <v>0.90466908673238</v>
      </c>
      <c r="I38" s="53" t="n">
        <f aca="false">F38/G38</f>
        <v>122.130326708871</v>
      </c>
    </row>
    <row r="39" customFormat="false" ht="27.75" hidden="false" customHeight="true" outlineLevel="0" collapsed="false">
      <c r="A39" s="5" t="s">
        <v>287</v>
      </c>
      <c r="B39" s="45" t="s">
        <v>288</v>
      </c>
      <c r="C39" s="5" t="s">
        <v>230</v>
      </c>
      <c r="D39" s="10" t="n">
        <v>9.2</v>
      </c>
      <c r="E39" s="49" t="n">
        <f aca="false">D39*Assumptions!$B$21</f>
        <v>12.6653672142533</v>
      </c>
      <c r="F39" s="50" t="n">
        <f aca="false">E39*Assumptions!$B$5</f>
        <v>1709.8245739242</v>
      </c>
      <c r="G39" s="51" t="n">
        <v>14</v>
      </c>
      <c r="H39" s="52" t="n">
        <f aca="false">E39/G39</f>
        <v>0.90466908673238</v>
      </c>
      <c r="I39" s="53" t="n">
        <f aca="false">F39/G39</f>
        <v>122.130326708871</v>
      </c>
    </row>
    <row r="40" customFormat="false" ht="27.75" hidden="false" customHeight="true" outlineLevel="0" collapsed="false">
      <c r="A40" s="5" t="s">
        <v>289</v>
      </c>
      <c r="B40" s="45" t="s">
        <v>290</v>
      </c>
      <c r="C40" s="5" t="s">
        <v>230</v>
      </c>
      <c r="D40" s="10" t="n">
        <v>9.2</v>
      </c>
      <c r="E40" s="49" t="n">
        <f aca="false">D40*Assumptions!$B$21</f>
        <v>12.6653672142533</v>
      </c>
      <c r="F40" s="50" t="n">
        <f aca="false">E40*Assumptions!$B$5</f>
        <v>1709.8245739242</v>
      </c>
      <c r="G40" s="51" t="n">
        <v>14</v>
      </c>
      <c r="H40" s="52" t="n">
        <f aca="false">E40/G40</f>
        <v>0.90466908673238</v>
      </c>
      <c r="I40" s="53" t="n">
        <f aca="false">F40/G40</f>
        <v>122.130326708871</v>
      </c>
    </row>
    <row r="41" customFormat="false" ht="27.75" hidden="false" customHeight="true" outlineLevel="0" collapsed="false">
      <c r="A41" s="5" t="s">
        <v>291</v>
      </c>
      <c r="B41" s="45" t="s">
        <v>292</v>
      </c>
      <c r="C41" s="5" t="s">
        <v>216</v>
      </c>
      <c r="D41" s="10" t="n">
        <v>28</v>
      </c>
      <c r="E41" s="49" t="n">
        <f aca="false">D41*Assumptions!$B$21</f>
        <v>38.5467697825101</v>
      </c>
      <c r="F41" s="50" t="n">
        <f aca="false">E41*Assumptions!$B$5</f>
        <v>5203.81392063886</v>
      </c>
      <c r="G41" s="51" t="n">
        <v>267</v>
      </c>
      <c r="H41" s="52" t="n">
        <f aca="false">E41/G41</f>
        <v>0.144369924279064</v>
      </c>
      <c r="I41" s="53" t="n">
        <f aca="false">F41/G41</f>
        <v>19.4899397776736</v>
      </c>
    </row>
    <row r="42" customFormat="false" ht="27.75" hidden="false" customHeight="true" outlineLevel="0" collapsed="false">
      <c r="A42" s="5" t="s">
        <v>293</v>
      </c>
      <c r="B42" s="45" t="s">
        <v>294</v>
      </c>
      <c r="C42" s="5" t="s">
        <v>216</v>
      </c>
      <c r="D42" s="10" t="n">
        <v>30</v>
      </c>
      <c r="E42" s="49" t="n">
        <f aca="false">D42*Assumptions!$B$21</f>
        <v>41.3001104812608</v>
      </c>
      <c r="F42" s="50" t="n">
        <f aca="false">E42*Assumptions!$B$5</f>
        <v>5575.51491497021</v>
      </c>
      <c r="G42" s="51" t="n">
        <v>333</v>
      </c>
      <c r="H42" s="52" t="n">
        <f aca="false">E42/G42</f>
        <v>0.124024355799582</v>
      </c>
      <c r="I42" s="53" t="n">
        <f aca="false">F42/G42</f>
        <v>16.7432880329436</v>
      </c>
    </row>
    <row r="43" customFormat="false" ht="27.75" hidden="false" customHeight="true" outlineLevel="0" collapsed="false">
      <c r="A43" s="5" t="s">
        <v>295</v>
      </c>
      <c r="B43" s="45" t="s">
        <v>296</v>
      </c>
      <c r="C43" s="5" t="s">
        <v>297</v>
      </c>
      <c r="D43" s="10" t="n">
        <v>0.21</v>
      </c>
      <c r="E43" s="49" t="n">
        <f aca="false">D43*Assumptions!$B$21</f>
        <v>0.289100773368826</v>
      </c>
      <c r="F43" s="50" t="n">
        <f aca="false">E43*Assumptions!$B$5</f>
        <v>39.0286044047915</v>
      </c>
      <c r="G43" s="51" t="n">
        <v>1</v>
      </c>
      <c r="H43" s="52" t="n">
        <f aca="false">E43/G43</f>
        <v>0.289100773368826</v>
      </c>
      <c r="I43" s="53" t="n">
        <f aca="false">F43/G43</f>
        <v>39.0286044047915</v>
      </c>
    </row>
    <row r="44" customFormat="false" ht="27.75" hidden="false" customHeight="true" outlineLevel="0" collapsed="false">
      <c r="A44" s="5" t="s">
        <v>298</v>
      </c>
      <c r="B44" s="45" t="s">
        <v>299</v>
      </c>
      <c r="C44" s="5" t="s">
        <v>300</v>
      </c>
      <c r="D44" s="10" t="n">
        <v>8.1</v>
      </c>
      <c r="E44" s="49" t="n">
        <f aca="false">D44*Assumptions!$B$21</f>
        <v>11.1510298299404</v>
      </c>
      <c r="F44" s="50" t="n">
        <f aca="false">E44*Assumptions!$B$5</f>
        <v>1505.38902704196</v>
      </c>
      <c r="G44" s="51" t="n">
        <v>30</v>
      </c>
      <c r="H44" s="52" t="n">
        <f aca="false">E44/G44</f>
        <v>0.371700994331347</v>
      </c>
      <c r="I44" s="53" t="n">
        <f aca="false">F44/G44</f>
        <v>50.1796342347319</v>
      </c>
    </row>
    <row r="45" customFormat="false" ht="27.75" hidden="false" customHeight="true" outlineLevel="0" collapsed="false">
      <c r="A45" s="5" t="s">
        <v>301</v>
      </c>
      <c r="B45" s="45" t="s">
        <v>302</v>
      </c>
      <c r="C45" s="5" t="s">
        <v>156</v>
      </c>
      <c r="D45" s="10" t="n">
        <v>3.6</v>
      </c>
      <c r="E45" s="49" t="n">
        <f aca="false">D45*Assumptions!$B$21</f>
        <v>4.9560132577513</v>
      </c>
      <c r="F45" s="50" t="n">
        <f aca="false">E45*Assumptions!$B$5</f>
        <v>669.061789796425</v>
      </c>
      <c r="G45" s="51" t="n">
        <v>20</v>
      </c>
      <c r="H45" s="52" t="n">
        <f aca="false">E45/G45</f>
        <v>0.247800662887565</v>
      </c>
      <c r="I45" s="53" t="n">
        <f aca="false">F45/G45</f>
        <v>33.4530894898213</v>
      </c>
    </row>
    <row r="46" customFormat="false" ht="27.75" hidden="false" customHeight="true" outlineLevel="0" collapsed="false">
      <c r="A46" s="5" t="s">
        <v>303</v>
      </c>
      <c r="B46" s="45" t="s">
        <v>304</v>
      </c>
      <c r="C46" s="5" t="s">
        <v>156</v>
      </c>
      <c r="D46" s="10" t="n">
        <v>3.07</v>
      </c>
      <c r="E46" s="49" t="n">
        <f aca="false">D46*Assumptions!$B$21</f>
        <v>4.22637797258236</v>
      </c>
      <c r="F46" s="50" t="n">
        <f aca="false">E46*Assumptions!$B$5</f>
        <v>570.561026298618</v>
      </c>
      <c r="G46" s="51" t="n">
        <v>40</v>
      </c>
      <c r="H46" s="52" t="n">
        <f aca="false">E46/G46</f>
        <v>0.105659449314559</v>
      </c>
      <c r="I46" s="53" t="n">
        <f aca="false">F46/G46</f>
        <v>14.2640256574655</v>
      </c>
    </row>
    <row r="47" customFormat="false" ht="27.75" hidden="false" customHeight="true" outlineLevel="0" collapsed="false">
      <c r="A47" s="5" t="s">
        <v>305</v>
      </c>
      <c r="B47" s="45" t="s">
        <v>306</v>
      </c>
      <c r="C47" s="5" t="s">
        <v>156</v>
      </c>
      <c r="D47" s="10" t="n">
        <v>1.5</v>
      </c>
      <c r="E47" s="49" t="n">
        <f aca="false">D47*Assumptions!$B$21</f>
        <v>2.06500552406304</v>
      </c>
      <c r="F47" s="50" t="n">
        <f aca="false">E47*Assumptions!$B$5</f>
        <v>278.775745748511</v>
      </c>
      <c r="G47" s="51" t="n">
        <v>50</v>
      </c>
      <c r="H47" s="52" t="n">
        <f aca="false">E47/G47</f>
        <v>0.0413001104812608</v>
      </c>
      <c r="I47" s="53" t="n">
        <f aca="false">F47/G47</f>
        <v>5.57551491497021</v>
      </c>
    </row>
    <row r="48" customFormat="false" ht="27.75" hidden="false" customHeight="true" outlineLevel="0" collapsed="false">
      <c r="A48" s="5" t="s">
        <v>307</v>
      </c>
      <c r="B48" s="45" t="s">
        <v>308</v>
      </c>
      <c r="C48" s="5" t="s">
        <v>156</v>
      </c>
      <c r="D48" s="10" t="n">
        <v>2.5</v>
      </c>
      <c r="E48" s="49" t="n">
        <f aca="false">D48*Assumptions!$B$21</f>
        <v>3.4416758734384</v>
      </c>
      <c r="F48" s="50" t="n">
        <f aca="false">E48*Assumptions!$B$5</f>
        <v>464.626242914184</v>
      </c>
      <c r="G48" s="51" t="n">
        <v>50</v>
      </c>
      <c r="H48" s="52" t="n">
        <f aca="false">E48/G48</f>
        <v>0.068833517468768</v>
      </c>
      <c r="I48" s="53" t="n">
        <f aca="false">F48/G48</f>
        <v>9.29252485828368</v>
      </c>
    </row>
    <row r="49" customFormat="false" ht="27.75" hidden="false" customHeight="true" outlineLevel="0" collapsed="false">
      <c r="A49" s="5" t="s">
        <v>309</v>
      </c>
      <c r="B49" s="45" t="s">
        <v>310</v>
      </c>
      <c r="C49" s="5" t="s">
        <v>156</v>
      </c>
      <c r="D49" s="10" t="n">
        <v>1</v>
      </c>
      <c r="E49" s="49" t="n">
        <f aca="false">D49*Assumptions!$B$21</f>
        <v>1.37667034937536</v>
      </c>
      <c r="F49" s="50" t="n">
        <f aca="false">E49*Assumptions!$B$5</f>
        <v>185.850497165674</v>
      </c>
      <c r="G49" s="51" t="n">
        <v>50</v>
      </c>
      <c r="H49" s="52" t="n">
        <f aca="false">E49/G49</f>
        <v>0.0275334069875072</v>
      </c>
      <c r="I49" s="53" t="n">
        <f aca="false">F49/G49</f>
        <v>3.71700994331347</v>
      </c>
    </row>
    <row r="50" customFormat="false" ht="27.75" hidden="false" customHeight="true" outlineLevel="0" collapsed="false">
      <c r="A50" s="5" t="s">
        <v>311</v>
      </c>
      <c r="B50" s="45" t="s">
        <v>312</v>
      </c>
      <c r="C50" s="5" t="s">
        <v>156</v>
      </c>
      <c r="D50" s="10" t="n">
        <v>0.7</v>
      </c>
      <c r="E50" s="49" t="n">
        <f aca="false">D50*Assumptions!$B$21</f>
        <v>0.963669244562752</v>
      </c>
      <c r="F50" s="50" t="n">
        <f aca="false">E50*Assumptions!$B$5</f>
        <v>130.095348015972</v>
      </c>
      <c r="G50" s="51" t="n">
        <v>50</v>
      </c>
      <c r="H50" s="52" t="n">
        <f aca="false">E50/G50</f>
        <v>0.019273384891255</v>
      </c>
      <c r="I50" s="53" t="n">
        <f aca="false">F50/G50</f>
        <v>2.60190696031943</v>
      </c>
    </row>
    <row r="51" customFormat="false" ht="27.75" hidden="false" customHeight="true" outlineLevel="0" collapsed="false">
      <c r="A51" s="5" t="s">
        <v>313</v>
      </c>
      <c r="B51" s="45" t="s">
        <v>314</v>
      </c>
      <c r="C51" s="5" t="s">
        <v>156</v>
      </c>
      <c r="D51" s="10" t="n">
        <v>1</v>
      </c>
      <c r="E51" s="49" t="n">
        <f aca="false">D51*Assumptions!$B$21</f>
        <v>1.37667034937536</v>
      </c>
      <c r="F51" s="50" t="n">
        <f aca="false">E51*Assumptions!$B$5</f>
        <v>185.850497165674</v>
      </c>
      <c r="G51" s="51" t="n">
        <v>50</v>
      </c>
      <c r="H51" s="52" t="n">
        <f aca="false">E51/G51</f>
        <v>0.0275334069875072</v>
      </c>
      <c r="I51" s="53" t="n">
        <f aca="false">F51/G51</f>
        <v>3.71700994331347</v>
      </c>
    </row>
    <row r="52" customFormat="false" ht="27.75" hidden="false" customHeight="true" outlineLevel="0" collapsed="false">
      <c r="A52" s="5" t="s">
        <v>315</v>
      </c>
      <c r="B52" s="45" t="s">
        <v>316</v>
      </c>
      <c r="C52" s="5" t="s">
        <v>156</v>
      </c>
      <c r="D52" s="10" t="n">
        <v>0.6</v>
      </c>
      <c r="E52" s="49" t="n">
        <f aca="false">D52*Assumptions!$B$21</f>
        <v>0.826002209625216</v>
      </c>
      <c r="F52" s="50" t="n">
        <f aca="false">E52*Assumptions!$B$5</f>
        <v>111.510298299404</v>
      </c>
      <c r="G52" s="51" t="n">
        <v>20</v>
      </c>
      <c r="H52" s="52" t="n">
        <f aca="false">E52/G52</f>
        <v>0.0413001104812608</v>
      </c>
      <c r="I52" s="53" t="n">
        <f aca="false">F52/G52</f>
        <v>5.57551491497021</v>
      </c>
    </row>
    <row r="53" customFormat="false" ht="27.75" hidden="false" customHeight="true" outlineLevel="0" collapsed="false">
      <c r="A53" s="5" t="s">
        <v>317</v>
      </c>
      <c r="B53" s="45" t="s">
        <v>318</v>
      </c>
      <c r="C53" s="5" t="s">
        <v>156</v>
      </c>
      <c r="D53" s="10" t="n">
        <v>5</v>
      </c>
      <c r="E53" s="49" t="n">
        <f aca="false">D53*Assumptions!$B$21</f>
        <v>6.8833517468768</v>
      </c>
      <c r="F53" s="50" t="n">
        <f aca="false">E53*Assumptions!$B$5</f>
        <v>929.252485828368</v>
      </c>
      <c r="G53" s="51" t="n">
        <v>50</v>
      </c>
      <c r="H53" s="52" t="n">
        <f aca="false">E53/G53</f>
        <v>0.137667034937536</v>
      </c>
      <c r="I53" s="53" t="n">
        <f aca="false">F53/G53</f>
        <v>18.5850497165674</v>
      </c>
    </row>
    <row r="54" customFormat="false" ht="27.75" hidden="false" customHeight="true" outlineLevel="0" collapsed="false">
      <c r="A54" s="5" t="s">
        <v>319</v>
      </c>
      <c r="B54" s="45" t="s">
        <v>320</v>
      </c>
      <c r="C54" s="5" t="s">
        <v>202</v>
      </c>
      <c r="D54" s="10" t="n">
        <v>2.5</v>
      </c>
      <c r="E54" s="49" t="n">
        <f aca="false">D54*Assumptions!$B$21</f>
        <v>3.4416758734384</v>
      </c>
      <c r="F54" s="50" t="n">
        <f aca="false">E54*Assumptions!$B$5</f>
        <v>464.626242914184</v>
      </c>
      <c r="G54" s="51" t="n">
        <v>60</v>
      </c>
      <c r="H54" s="52" t="n">
        <f aca="false">E54/G54</f>
        <v>0.0573612645573067</v>
      </c>
      <c r="I54" s="53" t="n">
        <f aca="false">F54/G54</f>
        <v>7.7437707152364</v>
      </c>
    </row>
    <row r="55" customFormat="false" ht="27.75" hidden="false" customHeight="true" outlineLevel="0" collapsed="false">
      <c r="A55" s="5" t="s">
        <v>321</v>
      </c>
      <c r="B55" s="45" t="s">
        <v>322</v>
      </c>
      <c r="C55" s="5" t="s">
        <v>202</v>
      </c>
      <c r="D55" s="10" t="n">
        <v>2.8</v>
      </c>
      <c r="E55" s="49" t="n">
        <f aca="false">D55*Assumptions!$B$21</f>
        <v>3.85467697825101</v>
      </c>
      <c r="F55" s="50" t="n">
        <f aca="false">E55*Assumptions!$B$5</f>
        <v>520.381392063886</v>
      </c>
      <c r="G55" s="51" t="n">
        <v>60</v>
      </c>
      <c r="H55" s="52" t="n">
        <f aca="false">E55/G55</f>
        <v>0.0642446163041835</v>
      </c>
      <c r="I55" s="53" t="n">
        <f aca="false">F55/G55</f>
        <v>8.67302320106477</v>
      </c>
    </row>
    <row r="56" customFormat="false" ht="27.75" hidden="false" customHeight="true" outlineLevel="0" collapsed="false">
      <c r="A56" s="5" t="s">
        <v>323</v>
      </c>
      <c r="B56" s="45" t="s">
        <v>324</v>
      </c>
      <c r="C56" s="5" t="s">
        <v>202</v>
      </c>
      <c r="D56" s="10" t="n">
        <v>2.8</v>
      </c>
      <c r="E56" s="49" t="n">
        <f aca="false">D56*Assumptions!$B$21</f>
        <v>3.85467697825101</v>
      </c>
      <c r="F56" s="50" t="n">
        <f aca="false">E56*Assumptions!$B$5</f>
        <v>520.381392063886</v>
      </c>
      <c r="G56" s="51" t="n">
        <v>60</v>
      </c>
      <c r="H56" s="52" t="n">
        <f aca="false">E56/G56</f>
        <v>0.0642446163041835</v>
      </c>
      <c r="I56" s="53" t="n">
        <f aca="false">F56/G56</f>
        <v>8.67302320106477</v>
      </c>
    </row>
    <row r="57" customFormat="false" ht="27.75" hidden="false" customHeight="true" outlineLevel="0" collapsed="false">
      <c r="A57" s="5" t="s">
        <v>325</v>
      </c>
      <c r="B57" s="45" t="s">
        <v>326</v>
      </c>
      <c r="C57" s="5" t="s">
        <v>156</v>
      </c>
      <c r="D57" s="10" t="n">
        <v>2.2</v>
      </c>
      <c r="E57" s="49" t="n">
        <f aca="false">D57*Assumptions!$B$21</f>
        <v>3.02867476862579</v>
      </c>
      <c r="F57" s="50" t="n">
        <f aca="false">E57*Assumptions!$B$5</f>
        <v>408.871093764482</v>
      </c>
      <c r="G57" s="51" t="n">
        <v>60</v>
      </c>
      <c r="H57" s="52" t="n">
        <f aca="false">E57/G57</f>
        <v>0.0504779128104299</v>
      </c>
      <c r="I57" s="53" t="n">
        <f aca="false">F57/G57</f>
        <v>6.81451822940804</v>
      </c>
    </row>
    <row r="58" customFormat="false" ht="27.75" hidden="false" customHeight="true" outlineLevel="0" collapsed="false">
      <c r="A58" s="5" t="s">
        <v>327</v>
      </c>
      <c r="B58" s="45" t="s">
        <v>328</v>
      </c>
      <c r="C58" s="5" t="s">
        <v>156</v>
      </c>
      <c r="D58" s="10" t="n">
        <v>0.8</v>
      </c>
      <c r="E58" s="49" t="n">
        <f aca="false">D58*Assumptions!$B$21</f>
        <v>1.10133627950029</v>
      </c>
      <c r="F58" s="50" t="n">
        <f aca="false">E58*Assumptions!$B$5</f>
        <v>148.680397732539</v>
      </c>
      <c r="G58" s="51" t="n">
        <v>60</v>
      </c>
      <c r="H58" s="52" t="n">
        <f aca="false">E58/G58</f>
        <v>0.0183556046583381</v>
      </c>
      <c r="I58" s="53" t="n">
        <f aca="false">F58/G58</f>
        <v>2.47800662887565</v>
      </c>
    </row>
    <row r="59" customFormat="false" ht="27.75" hidden="false" customHeight="true" outlineLevel="0" collapsed="false">
      <c r="A59" s="5" t="s">
        <v>329</v>
      </c>
      <c r="B59" s="45" t="s">
        <v>330</v>
      </c>
      <c r="C59" s="5" t="s">
        <v>156</v>
      </c>
      <c r="D59" s="10" t="n">
        <v>0.45</v>
      </c>
      <c r="E59" s="49" t="n">
        <f aca="false">D59*Assumptions!$B$21</f>
        <v>0.619501657218912</v>
      </c>
      <c r="F59" s="50" t="n">
        <f aca="false">E59*Assumptions!$B$5</f>
        <v>83.6327237245532</v>
      </c>
      <c r="G59" s="51" t="n">
        <v>60</v>
      </c>
      <c r="H59" s="52" t="n">
        <f aca="false">E59/G59</f>
        <v>0.0103250276203152</v>
      </c>
      <c r="I59" s="53" t="n">
        <f aca="false">F59/G59</f>
        <v>1.39387872874255</v>
      </c>
    </row>
    <row r="60" customFormat="false" ht="27.75" hidden="false" customHeight="true" outlineLevel="0" collapsed="false">
      <c r="A60" s="5" t="s">
        <v>331</v>
      </c>
      <c r="B60" s="45" t="s">
        <v>332</v>
      </c>
      <c r="C60" s="5" t="s">
        <v>156</v>
      </c>
      <c r="D60" s="10" t="n">
        <v>0.7</v>
      </c>
      <c r="E60" s="49" t="n">
        <f aca="false">D60*Assumptions!$B$21</f>
        <v>0.963669244562752</v>
      </c>
      <c r="F60" s="50" t="n">
        <f aca="false">E60*Assumptions!$B$5</f>
        <v>130.095348015972</v>
      </c>
      <c r="G60" s="51" t="n">
        <v>60</v>
      </c>
      <c r="H60" s="52" t="n">
        <f aca="false">E60/G60</f>
        <v>0.0160611540760459</v>
      </c>
      <c r="I60" s="53" t="n">
        <f aca="false">F60/G60</f>
        <v>2.16825580026619</v>
      </c>
    </row>
    <row r="61" customFormat="false" ht="27.75" hidden="false" customHeight="true" outlineLevel="0" collapsed="false">
      <c r="A61" s="5" t="s">
        <v>333</v>
      </c>
      <c r="B61" s="45" t="s">
        <v>334</v>
      </c>
      <c r="C61" s="5" t="s">
        <v>335</v>
      </c>
      <c r="D61" s="10" t="n">
        <v>0.7</v>
      </c>
      <c r="E61" s="49" t="n">
        <f aca="false">D61*Assumptions!$B$21</f>
        <v>0.963669244562752</v>
      </c>
      <c r="F61" s="50" t="n">
        <f aca="false">E61*Assumptions!$B$5</f>
        <v>130.095348015972</v>
      </c>
      <c r="G61" s="51" t="n">
        <v>10</v>
      </c>
      <c r="H61" s="52" t="n">
        <f aca="false">E61/G61</f>
        <v>0.0963669244562752</v>
      </c>
      <c r="I61" s="53" t="n">
        <f aca="false">F61/G61</f>
        <v>13.0095348015972</v>
      </c>
    </row>
    <row r="62" customFormat="false" ht="27.75" hidden="false" customHeight="true" outlineLevel="0" collapsed="false">
      <c r="A62" s="5" t="s">
        <v>336</v>
      </c>
      <c r="B62" s="45" t="s">
        <v>337</v>
      </c>
      <c r="C62" s="5" t="s">
        <v>335</v>
      </c>
      <c r="D62" s="10" t="n">
        <v>1</v>
      </c>
      <c r="E62" s="49" t="n">
        <f aca="false">D62*Assumptions!$B$21</f>
        <v>1.37667034937536</v>
      </c>
      <c r="F62" s="50" t="n">
        <f aca="false">E62*Assumptions!$B$5</f>
        <v>185.850497165674</v>
      </c>
      <c r="G62" s="51" t="n">
        <v>10</v>
      </c>
      <c r="H62" s="52" t="n">
        <f aca="false">E62/G62</f>
        <v>0.137667034937536</v>
      </c>
      <c r="I62" s="53" t="n">
        <f aca="false">F62/G62</f>
        <v>18.5850497165674</v>
      </c>
    </row>
    <row r="63" customFormat="false" ht="27.75" hidden="false" customHeight="true" outlineLevel="0" collapsed="false">
      <c r="A63" s="5" t="s">
        <v>338</v>
      </c>
      <c r="B63" s="45" t="s">
        <v>339</v>
      </c>
      <c r="C63" s="5" t="s">
        <v>161</v>
      </c>
      <c r="D63" s="10" t="n">
        <v>0.1</v>
      </c>
      <c r="E63" s="49" t="n">
        <f aca="false">D63*Assumptions!$B$21</f>
        <v>0.137667034937536</v>
      </c>
      <c r="F63" s="50" t="n">
        <f aca="false">E63*Assumptions!$B$5</f>
        <v>18.5850497165674</v>
      </c>
      <c r="G63" s="51" t="n">
        <v>1</v>
      </c>
      <c r="H63" s="52" t="n">
        <f aca="false">E63/G63</f>
        <v>0.137667034937536</v>
      </c>
      <c r="I63" s="53" t="n">
        <f aca="false">F63/G63</f>
        <v>18.5850497165674</v>
      </c>
    </row>
    <row r="64" customFormat="false" ht="27.75" hidden="false" customHeight="true" outlineLevel="0" collapsed="false">
      <c r="A64" s="5" t="s">
        <v>340</v>
      </c>
      <c r="B64" s="45" t="s">
        <v>341</v>
      </c>
      <c r="C64" s="5" t="s">
        <v>156</v>
      </c>
      <c r="D64" s="10" t="n">
        <v>0.6</v>
      </c>
      <c r="E64" s="49" t="n">
        <f aca="false">D64*Assumptions!$B$21</f>
        <v>0.826002209625216</v>
      </c>
      <c r="F64" s="50" t="n">
        <f aca="false">E64*Assumptions!$B$5</f>
        <v>111.510298299404</v>
      </c>
      <c r="G64" s="51" t="n">
        <v>1</v>
      </c>
      <c r="H64" s="52" t="n">
        <f aca="false">E64/G64</f>
        <v>0.826002209625216</v>
      </c>
      <c r="I64" s="53" t="n">
        <f aca="false">F64/G64</f>
        <v>111.510298299404</v>
      </c>
    </row>
    <row r="65" customFormat="false" ht="27.75" hidden="false" customHeight="true" outlineLevel="0" collapsed="false">
      <c r="A65" s="5" t="s">
        <v>342</v>
      </c>
      <c r="B65" s="45" t="s">
        <v>343</v>
      </c>
      <c r="C65" s="5" t="s">
        <v>156</v>
      </c>
      <c r="D65" s="10" t="n">
        <v>0.3</v>
      </c>
      <c r="E65" s="49" t="n">
        <f aca="false">D65*Assumptions!$B$21</f>
        <v>0.413001104812608</v>
      </c>
      <c r="F65" s="50" t="n">
        <f aca="false">E65*Assumptions!$B$5</f>
        <v>55.7551491497021</v>
      </c>
      <c r="G65" s="51" t="n">
        <v>1</v>
      </c>
      <c r="H65" s="52" t="n">
        <f aca="false">E65/G65</f>
        <v>0.413001104812608</v>
      </c>
      <c r="I65" s="53" t="n">
        <f aca="false">F65/G65</f>
        <v>55.7551491497021</v>
      </c>
    </row>
    <row r="66" customFormat="false" ht="27.75" hidden="false" customHeight="true" outlineLevel="0" collapsed="false">
      <c r="A66" s="5" t="s">
        <v>344</v>
      </c>
      <c r="B66" s="45" t="s">
        <v>345</v>
      </c>
      <c r="C66" s="5" t="s">
        <v>156</v>
      </c>
      <c r="D66" s="10" t="n">
        <v>0.4</v>
      </c>
      <c r="E66" s="49" t="n">
        <f aca="false">D66*Assumptions!$B$21</f>
        <v>0.550668139750144</v>
      </c>
      <c r="F66" s="50" t="n">
        <f aca="false">E66*Assumptions!$B$5</f>
        <v>74.3401988662695</v>
      </c>
      <c r="G66" s="51" t="n">
        <v>30</v>
      </c>
      <c r="H66" s="52" t="n">
        <f aca="false">E66/G66</f>
        <v>0.0183556046583381</v>
      </c>
      <c r="I66" s="53" t="n">
        <f aca="false">F66/G66</f>
        <v>2.47800662887565</v>
      </c>
    </row>
    <row r="67" customFormat="false" ht="27.75" hidden="false" customHeight="true" outlineLevel="0" collapsed="false">
      <c r="A67" s="5" t="s">
        <v>346</v>
      </c>
      <c r="B67" s="45" t="s">
        <v>347</v>
      </c>
      <c r="C67" s="5" t="s">
        <v>156</v>
      </c>
      <c r="D67" s="10" t="n">
        <v>0.7</v>
      </c>
      <c r="E67" s="49" t="n">
        <f aca="false">D67*Assumptions!$B$21</f>
        <v>0.963669244562752</v>
      </c>
      <c r="F67" s="50" t="n">
        <f aca="false">E67*Assumptions!$B$5</f>
        <v>130.095348015972</v>
      </c>
      <c r="G67" s="51" t="n">
        <v>30</v>
      </c>
      <c r="H67" s="52" t="n">
        <f aca="false">E67/G67</f>
        <v>0.0321223081520917</v>
      </c>
      <c r="I67" s="53" t="n">
        <f aca="false">F67/G67</f>
        <v>4.33651160053239</v>
      </c>
    </row>
    <row r="68" customFormat="false" ht="27.75" hidden="false" customHeight="true" outlineLevel="0" collapsed="false">
      <c r="A68" s="5" t="s">
        <v>348</v>
      </c>
      <c r="B68" s="45" t="s">
        <v>349</v>
      </c>
      <c r="C68" s="5" t="s">
        <v>156</v>
      </c>
      <c r="D68" s="10" t="n">
        <v>2.8</v>
      </c>
      <c r="E68" s="49" t="n">
        <f aca="false">D68*Assumptions!$B$21</f>
        <v>3.85467697825101</v>
      </c>
      <c r="F68" s="50" t="n">
        <f aca="false">E68*Assumptions!$B$5</f>
        <v>520.381392063886</v>
      </c>
      <c r="G68" s="51" t="n">
        <v>10</v>
      </c>
      <c r="H68" s="52" t="n">
        <f aca="false">E68/G68</f>
        <v>0.385467697825101</v>
      </c>
      <c r="I68" s="53" t="n">
        <f aca="false">F68/G68</f>
        <v>52.0381392063886</v>
      </c>
    </row>
    <row r="69" customFormat="false" ht="27.75" hidden="false" customHeight="true" outlineLevel="0" collapsed="false">
      <c r="A69" s="5" t="s">
        <v>350</v>
      </c>
      <c r="B69" s="45" t="s">
        <v>351</v>
      </c>
      <c r="C69" s="5" t="s">
        <v>335</v>
      </c>
      <c r="D69" s="10" t="n">
        <v>0.33</v>
      </c>
      <c r="E69" s="49" t="n">
        <f aca="false">D69*Assumptions!$B$21</f>
        <v>0.454301215293869</v>
      </c>
      <c r="F69" s="50" t="n">
        <f aca="false">E69*Assumptions!$B$5</f>
        <v>61.3306640646723</v>
      </c>
      <c r="G69" s="51" t="n">
        <v>10</v>
      </c>
      <c r="H69" s="52" t="n">
        <f aca="false">E69/G69</f>
        <v>0.0454301215293869</v>
      </c>
      <c r="I69" s="53" t="n">
        <f aca="false">F69/G69</f>
        <v>6.13306640646723</v>
      </c>
    </row>
    <row r="70" customFormat="false" ht="27.75" hidden="false" customHeight="true" outlineLevel="0" collapsed="false">
      <c r="A70" s="5" t="s">
        <v>352</v>
      </c>
      <c r="B70" s="45" t="s">
        <v>353</v>
      </c>
      <c r="C70" s="5" t="s">
        <v>156</v>
      </c>
      <c r="D70" s="10" t="n">
        <v>56</v>
      </c>
      <c r="E70" s="49" t="n">
        <f aca="false">D70*Assumptions!$B$21</f>
        <v>77.0935395650202</v>
      </c>
      <c r="F70" s="50" t="n">
        <f aca="false">E70*Assumptions!$B$5</f>
        <v>10407.6278412777</v>
      </c>
      <c r="G70" s="51" t="n">
        <v>50</v>
      </c>
      <c r="H70" s="52" t="n">
        <f aca="false">E70/G70</f>
        <v>1.5418707913004</v>
      </c>
      <c r="I70" s="53" t="n">
        <f aca="false">F70/G70</f>
        <v>208.152556825555</v>
      </c>
    </row>
    <row r="71" customFormat="false" ht="27.75" hidden="false" customHeight="true" outlineLevel="0" collapsed="false">
      <c r="A71" s="5" t="s">
        <v>354</v>
      </c>
      <c r="B71" s="45" t="s">
        <v>355</v>
      </c>
      <c r="C71" s="5" t="s">
        <v>356</v>
      </c>
      <c r="D71" s="10" t="n">
        <v>20</v>
      </c>
      <c r="E71" s="49" t="n">
        <f aca="false">D71*Assumptions!$B$21</f>
        <v>27.5334069875072</v>
      </c>
      <c r="F71" s="50" t="n">
        <f aca="false">E71*Assumptions!$B$5</f>
        <v>3717.00994331347</v>
      </c>
      <c r="G71" s="51" t="n">
        <v>38</v>
      </c>
      <c r="H71" s="52" t="n">
        <f aca="false">E71/G71</f>
        <v>0.724563341776506</v>
      </c>
      <c r="I71" s="53" t="n">
        <f aca="false">F71/G71</f>
        <v>97.8160511398283</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3" min="2" style="1" width="10"/>
    <col collapsed="false" customWidth="true" hidden="false" outlineLevel="0" max="8" min="4" style="1" width="13"/>
  </cols>
  <sheetData>
    <row r="1" customFormat="false" ht="17.25" hidden="false" customHeight="true" outlineLevel="0" collapsed="false">
      <c r="A1" s="20" t="s">
        <v>357</v>
      </c>
    </row>
    <row r="2" customFormat="false" ht="15" hidden="false" customHeight="true" outlineLevel="0" collapsed="false">
      <c r="A2" s="54" t="s">
        <v>358</v>
      </c>
    </row>
    <row r="4" customFormat="false" ht="15" hidden="false" customHeight="true" outlineLevel="0" collapsed="false">
      <c r="A4" s="22" t="s">
        <v>359</v>
      </c>
      <c r="B4" s="55" t="s">
        <v>360</v>
      </c>
      <c r="C4" s="23"/>
      <c r="D4" s="23"/>
      <c r="E4" s="23"/>
      <c r="F4" s="23"/>
      <c r="G4" s="23"/>
      <c r="H4" s="23"/>
    </row>
    <row r="5" customFormat="false" ht="195" hidden="false" customHeight="true" outlineLevel="0" collapsed="false">
      <c r="A5" s="26" t="s">
        <v>361</v>
      </c>
      <c r="B5" s="56" t="s">
        <v>362</v>
      </c>
      <c r="C5" s="56"/>
      <c r="D5" s="56"/>
      <c r="E5" s="56"/>
      <c r="F5" s="56"/>
      <c r="G5" s="56"/>
      <c r="H5" s="56"/>
    </row>
    <row r="6" customFormat="false" ht="23.25" hidden="false" customHeight="true" outlineLevel="0" collapsed="false">
      <c r="A6" s="24" t="s">
        <v>363</v>
      </c>
      <c r="B6" s="25" t="s">
        <v>364</v>
      </c>
      <c r="C6" s="25" t="s">
        <v>365</v>
      </c>
      <c r="D6" s="25" t="s">
        <v>366</v>
      </c>
      <c r="E6" s="25" t="s">
        <v>367</v>
      </c>
      <c r="F6" s="25" t="s">
        <v>368</v>
      </c>
      <c r="G6" s="25" t="s">
        <v>369</v>
      </c>
      <c r="H6" s="25" t="s">
        <v>370</v>
      </c>
    </row>
    <row r="7" customFormat="false" ht="15" hidden="false" customHeight="true" outlineLevel="0" collapsed="false">
      <c r="A7" s="26" t="s">
        <v>371</v>
      </c>
      <c r="B7" s="57" t="n">
        <v>1</v>
      </c>
      <c r="C7" s="57" t="n">
        <f aca="false">B7*1.3</f>
        <v>1.3</v>
      </c>
      <c r="D7" s="58" t="n">
        <f aca="false">'Product Costs'!H5</f>
        <v>0.082682903866388</v>
      </c>
      <c r="E7" s="59" t="n">
        <f aca="false">B7*D7</f>
        <v>0.082682903866388</v>
      </c>
      <c r="F7" s="59" t="n">
        <f aca="false">C7*D7</f>
        <v>0.107487775026304</v>
      </c>
      <c r="G7" s="60" t="n">
        <f aca="false">E7*Assumptions!$B$5</f>
        <v>11.1621920219624</v>
      </c>
      <c r="H7" s="60" t="n">
        <f aca="false">F7*Assumptions!$B$5</f>
        <v>14.5108496285511</v>
      </c>
    </row>
    <row r="8" customFormat="false" ht="15" hidden="false" customHeight="true" outlineLevel="0" collapsed="false">
      <c r="A8" s="26" t="s">
        <v>372</v>
      </c>
      <c r="B8" s="57" t="n">
        <v>1</v>
      </c>
      <c r="C8" s="57" t="n">
        <f aca="false">B8*1.3</f>
        <v>1.3</v>
      </c>
      <c r="D8" s="58" t="n">
        <f aca="false">'Product Costs'!H9</f>
        <v>0.619501657218912</v>
      </c>
      <c r="E8" s="59" t="n">
        <f aca="false">B8*D8</f>
        <v>0.619501657218912</v>
      </c>
      <c r="F8" s="59" t="n">
        <f aca="false">C8*D8</f>
        <v>0.805352154384586</v>
      </c>
      <c r="G8" s="60" t="n">
        <f aca="false">E8*Assumptions!$B$5</f>
        <v>83.6327237245532</v>
      </c>
      <c r="H8" s="60" t="n">
        <f aca="false">F8*Assumptions!$B$5</f>
        <v>108.722540841919</v>
      </c>
    </row>
    <row r="9" customFormat="false" ht="15" hidden="false" customHeight="true" outlineLevel="0" collapsed="false">
      <c r="A9" s="26" t="s">
        <v>373</v>
      </c>
      <c r="B9" s="57" t="n">
        <v>1</v>
      </c>
      <c r="C9" s="57" t="n">
        <f aca="false">B9*1.3</f>
        <v>1.3</v>
      </c>
      <c r="D9" s="58" t="n">
        <f aca="false">'Product Costs'!H10</f>
        <v>0.917780232916907</v>
      </c>
      <c r="E9" s="59" t="n">
        <f aca="false">B9*D9</f>
        <v>0.917780232916907</v>
      </c>
      <c r="F9" s="59" t="n">
        <f aca="false">C9*D9</f>
        <v>1.19311430279198</v>
      </c>
      <c r="G9" s="60" t="n">
        <f aca="false">E9*Assumptions!$B$5</f>
        <v>123.900331443782</v>
      </c>
      <c r="H9" s="60" t="n">
        <f aca="false">F9*Assumptions!$B$5</f>
        <v>161.070430876917</v>
      </c>
    </row>
    <row r="10" customFormat="false" ht="15" hidden="false" customHeight="true" outlineLevel="0" collapsed="false">
      <c r="A10" s="26" t="s">
        <v>374</v>
      </c>
      <c r="B10" s="57" t="n">
        <v>1</v>
      </c>
      <c r="C10" s="57" t="n">
        <f aca="false">B10*1.3</f>
        <v>1.3</v>
      </c>
      <c r="D10" s="58" t="n">
        <f aca="false">'Product Costs'!H20</f>
        <v>0.206500552406304</v>
      </c>
      <c r="E10" s="59" t="n">
        <f aca="false">B10*D10</f>
        <v>0.206500552406304</v>
      </c>
      <c r="F10" s="59" t="n">
        <f aca="false">C10*D10</f>
        <v>0.268450718128195</v>
      </c>
      <c r="G10" s="60" t="n">
        <f aca="false">E10*Assumptions!$B$5</f>
        <v>27.8775745748511</v>
      </c>
      <c r="H10" s="60" t="n">
        <f aca="false">F10*Assumptions!$B$5</f>
        <v>36.2408469473064</v>
      </c>
    </row>
    <row r="11" customFormat="false" ht="15" hidden="false" customHeight="true" outlineLevel="0" collapsed="false">
      <c r="A11" s="26" t="s">
        <v>375</v>
      </c>
      <c r="B11" s="57" t="n">
        <v>1</v>
      </c>
      <c r="C11" s="57" t="n">
        <f aca="false">B11*1.3</f>
        <v>1.3</v>
      </c>
      <c r="D11" s="58" t="n">
        <f aca="false">'Product Costs'!H19</f>
        <v>0.289100773368826</v>
      </c>
      <c r="E11" s="59" t="n">
        <f aca="false">B11*D11</f>
        <v>0.289100773368826</v>
      </c>
      <c r="F11" s="59" t="n">
        <f aca="false">C11*D11</f>
        <v>0.375831005379474</v>
      </c>
      <c r="G11" s="60" t="n">
        <f aca="false">E11*Assumptions!$B$5</f>
        <v>39.0286044047915</v>
      </c>
      <c r="H11" s="60" t="n">
        <f aca="false">F11*Assumptions!$B$5</f>
        <v>50.7371857262289</v>
      </c>
    </row>
    <row r="12" customFormat="false" ht="15" hidden="false" customHeight="true" outlineLevel="0" collapsed="false">
      <c r="A12" s="26" t="s">
        <v>376</v>
      </c>
      <c r="B12" s="57" t="n">
        <v>1</v>
      </c>
      <c r="C12" s="57" t="n">
        <f aca="false">B12*1.3</f>
        <v>1.3</v>
      </c>
      <c r="D12" s="58" t="n">
        <f aca="false">'Product Costs'!H18</f>
        <v>0.68833517468768</v>
      </c>
      <c r="E12" s="59" t="n">
        <f aca="false">B12*D12</f>
        <v>0.68833517468768</v>
      </c>
      <c r="F12" s="59" t="n">
        <f aca="false">C12*D12</f>
        <v>0.894835727093985</v>
      </c>
      <c r="G12" s="60" t="n">
        <f aca="false">E12*Assumptions!$B$5</f>
        <v>92.9252485828368</v>
      </c>
      <c r="H12" s="60" t="n">
        <f aca="false">F12*Assumptions!$B$5</f>
        <v>120.802823157688</v>
      </c>
    </row>
    <row r="13" customFormat="false" ht="15" hidden="false" customHeight="true" outlineLevel="0" collapsed="false">
      <c r="A13" s="26" t="s">
        <v>377</v>
      </c>
      <c r="B13" s="57" t="n">
        <v>1</v>
      </c>
      <c r="C13" s="57" t="n">
        <f aca="false">B13*1.3</f>
        <v>1.3</v>
      </c>
      <c r="D13" s="58" t="n">
        <f aca="false">'Product Costs'!H36</f>
        <v>0.385467697825101</v>
      </c>
      <c r="E13" s="59" t="n">
        <f aca="false">B13*D13</f>
        <v>0.385467697825101</v>
      </c>
      <c r="F13" s="59" t="n">
        <f aca="false">C13*D13</f>
        <v>0.501108007172631</v>
      </c>
      <c r="G13" s="60" t="n">
        <f aca="false">E13*Assumptions!$B$5</f>
        <v>52.0381392063886</v>
      </c>
      <c r="H13" s="60" t="n">
        <f aca="false">F13*Assumptions!$B$5</f>
        <v>67.6495809683052</v>
      </c>
    </row>
    <row r="14" customFormat="false" ht="15" hidden="false" customHeight="true" outlineLevel="0" collapsed="false">
      <c r="A14" s="26" t="s">
        <v>378</v>
      </c>
      <c r="B14" s="57" t="n">
        <v>1</v>
      </c>
      <c r="C14" s="57" t="n">
        <f aca="false">B14*1.3</f>
        <v>1.3</v>
      </c>
      <c r="D14" s="58" t="n">
        <f aca="false">'Product Costs'!H24</f>
        <v>0.715868581675188</v>
      </c>
      <c r="E14" s="59" t="n">
        <f aca="false">B14*D14</f>
        <v>0.715868581675188</v>
      </c>
      <c r="F14" s="59" t="n">
        <f aca="false">C14*D14</f>
        <v>0.930629156177744</v>
      </c>
      <c r="G14" s="60" t="n">
        <f aca="false">E14*Assumptions!$B$5</f>
        <v>96.6422585261503</v>
      </c>
      <c r="H14" s="60" t="n">
        <f aca="false">F14*Assumptions!$B$5</f>
        <v>125.634936083995</v>
      </c>
    </row>
    <row r="15" customFormat="false" ht="15" hidden="false" customHeight="true" outlineLevel="0" collapsed="false">
      <c r="A15" s="26" t="s">
        <v>379</v>
      </c>
      <c r="B15" s="57" t="n">
        <v>0.5</v>
      </c>
      <c r="C15" s="57" t="n">
        <f aca="false">B15*1.3</f>
        <v>0.65</v>
      </c>
      <c r="D15" s="58" t="n">
        <f aca="false">'Product Costs'!H22</f>
        <v>0.313499188471617</v>
      </c>
      <c r="E15" s="59" t="n">
        <f aca="false">B15*D15</f>
        <v>0.156749594235808</v>
      </c>
      <c r="F15" s="59" t="n">
        <f aca="false">C15*D15</f>
        <v>0.203774472506551</v>
      </c>
      <c r="G15" s="60" t="n">
        <f aca="false">E15*Assumptions!$B$5</f>
        <v>21.1611952218341</v>
      </c>
      <c r="H15" s="60" t="n">
        <f aca="false">F15*Assumptions!$B$5</f>
        <v>27.5095537883844</v>
      </c>
    </row>
    <row r="16" customFormat="false" ht="15" hidden="false" customHeight="true" outlineLevel="0" collapsed="false">
      <c r="A16" s="26" t="s">
        <v>380</v>
      </c>
      <c r="B16" s="57" t="n">
        <v>0.4</v>
      </c>
      <c r="C16" s="57" t="n">
        <f aca="false">B16*1.3</f>
        <v>0.52</v>
      </c>
      <c r="D16" s="58" t="n">
        <f aca="false">'Product Costs'!H49</f>
        <v>0.0275334069875072</v>
      </c>
      <c r="E16" s="59" t="n">
        <f aca="false">B16*D16</f>
        <v>0.0110133627950029</v>
      </c>
      <c r="F16" s="59" t="n">
        <f aca="false">C16*D16</f>
        <v>0.0143173716335038</v>
      </c>
      <c r="G16" s="60" t="n">
        <f aca="false">E16*Assumptions!$B$5</f>
        <v>1.48680397732539</v>
      </c>
      <c r="H16" s="60" t="n">
        <f aca="false">F16*Assumptions!$B$5</f>
        <v>1.93284517052301</v>
      </c>
    </row>
    <row r="17" customFormat="false" ht="15" hidden="false" customHeight="true" outlineLevel="0" collapsed="false">
      <c r="A17" s="26" t="s">
        <v>381</v>
      </c>
      <c r="B17" s="57" t="n">
        <v>0.2</v>
      </c>
      <c r="C17" s="57" t="n">
        <f aca="false">B17*1.3</f>
        <v>0.26</v>
      </c>
      <c r="D17" s="58" t="n">
        <f aca="false">'Product Costs'!H50</f>
        <v>0.019273384891255</v>
      </c>
      <c r="E17" s="59" t="n">
        <f aca="false">B17*D17</f>
        <v>0.00385467697825101</v>
      </c>
      <c r="F17" s="59" t="n">
        <f aca="false">C17*D17</f>
        <v>0.00501108007172631</v>
      </c>
      <c r="G17" s="60" t="n">
        <f aca="false">E17*Assumptions!$B$5</f>
        <v>0.520381392063886</v>
      </c>
      <c r="H17" s="60" t="n">
        <f aca="false">F17*Assumptions!$B$5</f>
        <v>0.676495809683052</v>
      </c>
    </row>
    <row r="18" customFormat="false" ht="15" hidden="false" customHeight="true" outlineLevel="0" collapsed="false">
      <c r="A18" s="26" t="s">
        <v>382</v>
      </c>
      <c r="B18" s="57" t="n">
        <v>0.2</v>
      </c>
      <c r="C18" s="57" t="n">
        <f aca="false">B18*1.3</f>
        <v>0.26</v>
      </c>
      <c r="D18" s="58" t="n">
        <f aca="false">'Product Costs'!H47</f>
        <v>0.0413001104812608</v>
      </c>
      <c r="E18" s="59" t="n">
        <f aca="false">B18*D18</f>
        <v>0.00826002209625217</v>
      </c>
      <c r="F18" s="59" t="n">
        <f aca="false">C18*D18</f>
        <v>0.0107380287251278</v>
      </c>
      <c r="G18" s="60" t="n">
        <f aca="false">E18*Assumptions!$B$5</f>
        <v>1.11510298299404</v>
      </c>
      <c r="H18" s="60" t="n">
        <f aca="false">F18*Assumptions!$B$5</f>
        <v>1.44963387789225</v>
      </c>
    </row>
    <row r="19" customFormat="false" ht="15" hidden="false" customHeight="true" outlineLevel="0" collapsed="false">
      <c r="A19" s="26" t="s">
        <v>383</v>
      </c>
      <c r="B19" s="57" t="n">
        <v>0.2</v>
      </c>
      <c r="C19" s="57" t="n">
        <f aca="false">B19*1.3</f>
        <v>0.26</v>
      </c>
      <c r="D19" s="58" t="n">
        <f aca="false">'Product Costs'!H48</f>
        <v>0.068833517468768</v>
      </c>
      <c r="E19" s="59" t="n">
        <f aca="false">B19*D19</f>
        <v>0.0137667034937536</v>
      </c>
      <c r="F19" s="59" t="n">
        <f aca="false">C19*D19</f>
        <v>0.0178967145418797</v>
      </c>
      <c r="G19" s="60" t="n">
        <f aca="false">E19*Assumptions!$B$5</f>
        <v>1.85850497165674</v>
      </c>
      <c r="H19" s="60" t="n">
        <f aca="false">F19*Assumptions!$B$5</f>
        <v>2.41605646315376</v>
      </c>
    </row>
    <row r="20" customFormat="false" ht="15" hidden="false" customHeight="true" outlineLevel="0" collapsed="false">
      <c r="A20" s="26" t="s">
        <v>384</v>
      </c>
      <c r="B20" s="57" t="n">
        <v>0.3</v>
      </c>
      <c r="C20" s="57" t="n">
        <f aca="false">B20*1.3</f>
        <v>0.39</v>
      </c>
      <c r="D20" s="58" t="n">
        <f aca="false">'Product Costs'!H66</f>
        <v>0.0183556046583381</v>
      </c>
      <c r="E20" s="59" t="n">
        <f aca="false">B20*D20</f>
        <v>0.00550668139750144</v>
      </c>
      <c r="F20" s="59" t="n">
        <f aca="false">C20*D20</f>
        <v>0.00715868581675188</v>
      </c>
      <c r="G20" s="60" t="n">
        <f aca="false">E20*Assumptions!$B$5</f>
        <v>0.743401988662695</v>
      </c>
      <c r="H20" s="60" t="n">
        <f aca="false">F20*Assumptions!$B$5</f>
        <v>0.966422585261503</v>
      </c>
    </row>
    <row r="21" customFormat="false" ht="15" hidden="false" customHeight="true" outlineLevel="0" collapsed="false">
      <c r="A21" s="26" t="s">
        <v>385</v>
      </c>
      <c r="B21" s="57" t="n">
        <v>1</v>
      </c>
      <c r="C21" s="57" t="n">
        <f aca="false">B21*1.3</f>
        <v>1.3</v>
      </c>
      <c r="D21" s="58" t="n">
        <f aca="false">'Product Costs'!H14</f>
        <v>0.405146228945301</v>
      </c>
      <c r="E21" s="59" t="n">
        <f aca="false">B21*D21</f>
        <v>0.405146228945301</v>
      </c>
      <c r="F21" s="59" t="n">
        <f aca="false">C21*D21</f>
        <v>0.526690097628892</v>
      </c>
      <c r="G21" s="60" t="n">
        <f aca="false">E21*Assumptions!$B$5</f>
        <v>54.6947409076157</v>
      </c>
      <c r="H21" s="60" t="n">
        <f aca="false">F21*Assumptions!$B$5</f>
        <v>71.1031631799004</v>
      </c>
    </row>
    <row r="22" customFormat="false" ht="15" hidden="false" customHeight="true" outlineLevel="0" collapsed="false">
      <c r="A22" s="61" t="s">
        <v>386</v>
      </c>
      <c r="B22" s="62"/>
      <c r="C22" s="62"/>
      <c r="D22" s="62"/>
      <c r="E22" s="63" t="n">
        <f aca="false">SUM(E7:E21)</f>
        <v>4.50953484390718</v>
      </c>
      <c r="F22" s="63" t="n">
        <f aca="false">SUM(F7:F21)</f>
        <v>5.86239529707933</v>
      </c>
      <c r="G22" s="64" t="n">
        <f aca="false">E22*Assumptions!$B$5</f>
        <v>608.787203927469</v>
      </c>
      <c r="H22" s="64" t="n">
        <f aca="false">F22*Assumptions!$B$5</f>
        <v>791.42336510571</v>
      </c>
    </row>
    <row r="23" customFormat="false" ht="15" hidden="false" customHeight="true" outlineLevel="0" collapsed="false">
      <c r="A23" s="26" t="s">
        <v>387</v>
      </c>
      <c r="E23" s="65" t="n">
        <f aca="false">E22*Assumptions!$B$9</f>
        <v>0.676430226586076</v>
      </c>
      <c r="F23" s="65" t="n">
        <f aca="false">F22*Assumptions!$B$9</f>
        <v>0.8793592945619</v>
      </c>
      <c r="G23" s="28" t="n">
        <f aca="false">E23*Assumptions!$B$5</f>
        <v>91.3180805891203</v>
      </c>
      <c r="H23" s="28" t="n">
        <f aca="false">F23*Assumptions!$B$5</f>
        <v>118.713504765856</v>
      </c>
    </row>
    <row r="24" customFormat="false" ht="15" hidden="false" customHeight="true" outlineLevel="0" collapsed="false">
      <c r="A24" s="61" t="s">
        <v>388</v>
      </c>
      <c r="B24" s="62"/>
      <c r="C24" s="62"/>
      <c r="D24" s="62"/>
      <c r="E24" s="63" t="n">
        <f aca="false">E22+E23</f>
        <v>5.18596507049325</v>
      </c>
      <c r="F24" s="63" t="n">
        <f aca="false">F22+F23</f>
        <v>6.74175459164123</v>
      </c>
      <c r="G24" s="64" t="n">
        <f aca="false">E24*Assumptions!$B$5</f>
        <v>700.105284516589</v>
      </c>
      <c r="H24" s="64" t="n">
        <f aca="false">F24*Assumptions!$B$5</f>
        <v>910.136869871566</v>
      </c>
    </row>
    <row r="25" customFormat="false" ht="15" hidden="false" customHeight="true" outlineLevel="0" collapsed="false">
      <c r="A25" s="66" t="s">
        <v>389</v>
      </c>
      <c r="B25" s="67"/>
      <c r="C25" s="67"/>
      <c r="D25" s="67"/>
      <c r="E25" s="68" t="n">
        <f aca="false">G25/Assumptions!$B$5</f>
        <v>37.037037037037</v>
      </c>
      <c r="F25" s="68" t="n">
        <f aca="false">H25/Assumptions!$B$5</f>
        <v>51.8518518518519</v>
      </c>
      <c r="G25" s="69" t="n">
        <v>5000</v>
      </c>
      <c r="H25" s="69" t="n">
        <v>7000</v>
      </c>
    </row>
    <row r="26" customFormat="false" ht="15" hidden="false" customHeight="true" outlineLevel="0" collapsed="false">
      <c r="A26" s="61" t="s">
        <v>390</v>
      </c>
      <c r="B26" s="62"/>
      <c r="C26" s="62"/>
      <c r="D26" s="62"/>
      <c r="E26" s="63" t="n">
        <f aca="false">E25-E24</f>
        <v>31.8510719665438</v>
      </c>
      <c r="F26" s="63" t="n">
        <f aca="false">F25-F24</f>
        <v>45.1100972602106</v>
      </c>
      <c r="G26" s="64" t="n">
        <f aca="false">G25-G24</f>
        <v>4299.89471548341</v>
      </c>
      <c r="H26" s="64" t="n">
        <f aca="false">H25-H24</f>
        <v>6089.86313012843</v>
      </c>
    </row>
    <row r="27" customFormat="false" ht="15" hidden="false" customHeight="true" outlineLevel="0" collapsed="false">
      <c r="A27" s="61" t="s">
        <v>391</v>
      </c>
      <c r="B27" s="62"/>
      <c r="C27" s="62"/>
      <c r="D27" s="62"/>
      <c r="E27" s="62"/>
      <c r="F27" s="62"/>
      <c r="G27" s="70" t="n">
        <f aca="false">G26/G25</f>
        <v>0.859978943096682</v>
      </c>
      <c r="H27" s="70" t="n">
        <f aca="false">H26/H25</f>
        <v>0.869980447161205</v>
      </c>
    </row>
    <row r="29" customFormat="false" ht="15" hidden="false" customHeight="true" outlineLevel="0" collapsed="false">
      <c r="A29" s="22" t="s">
        <v>392</v>
      </c>
      <c r="B29" s="55" t="s">
        <v>393</v>
      </c>
      <c r="C29" s="23"/>
      <c r="D29" s="23"/>
      <c r="E29" s="23"/>
      <c r="F29" s="23"/>
      <c r="G29" s="23"/>
      <c r="H29" s="23"/>
    </row>
    <row r="30" customFormat="false" ht="220.5" hidden="false" customHeight="true" outlineLevel="0" collapsed="false">
      <c r="A30" s="26" t="s">
        <v>361</v>
      </c>
      <c r="B30" s="56" t="s">
        <v>394</v>
      </c>
      <c r="C30" s="56"/>
      <c r="D30" s="56"/>
      <c r="E30" s="56"/>
      <c r="F30" s="56"/>
      <c r="G30" s="56"/>
      <c r="H30" s="56"/>
    </row>
    <row r="31" customFormat="false" ht="23.25" hidden="false" customHeight="true" outlineLevel="0" collapsed="false">
      <c r="A31" s="24" t="s">
        <v>363</v>
      </c>
      <c r="B31" s="25" t="s">
        <v>364</v>
      </c>
      <c r="C31" s="25" t="s">
        <v>365</v>
      </c>
      <c r="D31" s="25" t="s">
        <v>366</v>
      </c>
      <c r="E31" s="25" t="s">
        <v>367</v>
      </c>
      <c r="F31" s="25" t="s">
        <v>368</v>
      </c>
      <c r="G31" s="25" t="s">
        <v>369</v>
      </c>
      <c r="H31" s="25" t="s">
        <v>370</v>
      </c>
    </row>
    <row r="32" customFormat="false" ht="15" hidden="false" customHeight="true" outlineLevel="0" collapsed="false">
      <c r="A32" s="26" t="s">
        <v>371</v>
      </c>
      <c r="B32" s="57" t="n">
        <v>1</v>
      </c>
      <c r="C32" s="57" t="n">
        <f aca="false">B32*1.3</f>
        <v>1.3</v>
      </c>
      <c r="D32" s="58" t="n">
        <f aca="false">'Product Costs'!H5</f>
        <v>0.082682903866388</v>
      </c>
      <c r="E32" s="59" t="n">
        <f aca="false">B32*D32</f>
        <v>0.082682903866388</v>
      </c>
      <c r="F32" s="59" t="n">
        <f aca="false">C32*D32</f>
        <v>0.107487775026304</v>
      </c>
      <c r="G32" s="60" t="n">
        <f aca="false">E32*Assumptions!$B$5</f>
        <v>11.1621920219624</v>
      </c>
      <c r="H32" s="60" t="n">
        <f aca="false">F32*Assumptions!$B$5</f>
        <v>14.5108496285511</v>
      </c>
    </row>
    <row r="33" customFormat="false" ht="15" hidden="false" customHeight="true" outlineLevel="0" collapsed="false">
      <c r="A33" s="26" t="s">
        <v>372</v>
      </c>
      <c r="B33" s="57" t="n">
        <v>1</v>
      </c>
      <c r="C33" s="57" t="n">
        <f aca="false">B33*1.3</f>
        <v>1.3</v>
      </c>
      <c r="D33" s="58" t="n">
        <f aca="false">'Product Costs'!H9</f>
        <v>0.619501657218912</v>
      </c>
      <c r="E33" s="59" t="n">
        <f aca="false">B33*D33</f>
        <v>0.619501657218912</v>
      </c>
      <c r="F33" s="59" t="n">
        <f aca="false">C33*D33</f>
        <v>0.805352154384586</v>
      </c>
      <c r="G33" s="60" t="n">
        <f aca="false">E33*Assumptions!$B$5</f>
        <v>83.6327237245532</v>
      </c>
      <c r="H33" s="60" t="n">
        <f aca="false">F33*Assumptions!$B$5</f>
        <v>108.722540841919</v>
      </c>
    </row>
    <row r="34" customFormat="false" ht="15" hidden="false" customHeight="true" outlineLevel="0" collapsed="false">
      <c r="A34" s="26" t="s">
        <v>373</v>
      </c>
      <c r="B34" s="57" t="n">
        <v>1</v>
      </c>
      <c r="C34" s="57" t="n">
        <f aca="false">B34*1.3</f>
        <v>1.3</v>
      </c>
      <c r="D34" s="58" t="n">
        <f aca="false">'Product Costs'!H10</f>
        <v>0.917780232916907</v>
      </c>
      <c r="E34" s="59" t="n">
        <f aca="false">B34*D34</f>
        <v>0.917780232916907</v>
      </c>
      <c r="F34" s="59" t="n">
        <f aca="false">C34*D34</f>
        <v>1.19311430279198</v>
      </c>
      <c r="G34" s="60" t="n">
        <f aca="false">E34*Assumptions!$B$5</f>
        <v>123.900331443782</v>
      </c>
      <c r="H34" s="60" t="n">
        <f aca="false">F34*Assumptions!$B$5</f>
        <v>161.070430876917</v>
      </c>
    </row>
    <row r="35" customFormat="false" ht="15" hidden="false" customHeight="true" outlineLevel="0" collapsed="false">
      <c r="A35" s="26" t="s">
        <v>374</v>
      </c>
      <c r="B35" s="57" t="n">
        <v>1</v>
      </c>
      <c r="C35" s="57" t="n">
        <f aca="false">B35*1.3</f>
        <v>1.3</v>
      </c>
      <c r="D35" s="58" t="n">
        <f aca="false">'Product Costs'!H20</f>
        <v>0.206500552406304</v>
      </c>
      <c r="E35" s="59" t="n">
        <f aca="false">B35*D35</f>
        <v>0.206500552406304</v>
      </c>
      <c r="F35" s="59" t="n">
        <f aca="false">C35*D35</f>
        <v>0.268450718128195</v>
      </c>
      <c r="G35" s="60" t="n">
        <f aca="false">E35*Assumptions!$B$5</f>
        <v>27.8775745748511</v>
      </c>
      <c r="H35" s="60" t="n">
        <f aca="false">F35*Assumptions!$B$5</f>
        <v>36.2408469473064</v>
      </c>
    </row>
    <row r="36" customFormat="false" ht="15" hidden="false" customHeight="true" outlineLevel="0" collapsed="false">
      <c r="A36" s="26" t="s">
        <v>375</v>
      </c>
      <c r="B36" s="57" t="n">
        <v>1</v>
      </c>
      <c r="C36" s="57" t="n">
        <f aca="false">B36*1.3</f>
        <v>1.3</v>
      </c>
      <c r="D36" s="58" t="n">
        <f aca="false">'Product Costs'!H19</f>
        <v>0.289100773368826</v>
      </c>
      <c r="E36" s="59" t="n">
        <f aca="false">B36*D36</f>
        <v>0.289100773368826</v>
      </c>
      <c r="F36" s="59" t="n">
        <f aca="false">C36*D36</f>
        <v>0.375831005379474</v>
      </c>
      <c r="G36" s="60" t="n">
        <f aca="false">E36*Assumptions!$B$5</f>
        <v>39.0286044047915</v>
      </c>
      <c r="H36" s="60" t="n">
        <f aca="false">F36*Assumptions!$B$5</f>
        <v>50.7371857262289</v>
      </c>
    </row>
    <row r="37" customFormat="false" ht="15" hidden="false" customHeight="true" outlineLevel="0" collapsed="false">
      <c r="A37" s="26" t="s">
        <v>376</v>
      </c>
      <c r="B37" s="57" t="n">
        <v>1</v>
      </c>
      <c r="C37" s="57" t="n">
        <f aca="false">B37*1.3</f>
        <v>1.3</v>
      </c>
      <c r="D37" s="58" t="n">
        <f aca="false">'Product Costs'!H18</f>
        <v>0.68833517468768</v>
      </c>
      <c r="E37" s="59" t="n">
        <f aca="false">B37*D37</f>
        <v>0.68833517468768</v>
      </c>
      <c r="F37" s="59" t="n">
        <f aca="false">C37*D37</f>
        <v>0.894835727093985</v>
      </c>
      <c r="G37" s="60" t="n">
        <f aca="false">E37*Assumptions!$B$5</f>
        <v>92.9252485828368</v>
      </c>
      <c r="H37" s="60" t="n">
        <f aca="false">F37*Assumptions!$B$5</f>
        <v>120.802823157688</v>
      </c>
    </row>
    <row r="38" customFormat="false" ht="15" hidden="false" customHeight="true" outlineLevel="0" collapsed="false">
      <c r="A38" s="26" t="s">
        <v>377</v>
      </c>
      <c r="B38" s="57" t="n">
        <v>1</v>
      </c>
      <c r="C38" s="57" t="n">
        <f aca="false">B38*1.3</f>
        <v>1.3</v>
      </c>
      <c r="D38" s="58" t="n">
        <f aca="false">'Product Costs'!H36</f>
        <v>0.385467697825101</v>
      </c>
      <c r="E38" s="59" t="n">
        <f aca="false">B38*D38</f>
        <v>0.385467697825101</v>
      </c>
      <c r="F38" s="59" t="n">
        <f aca="false">C38*D38</f>
        <v>0.501108007172631</v>
      </c>
      <c r="G38" s="60" t="n">
        <f aca="false">E38*Assumptions!$B$5</f>
        <v>52.0381392063886</v>
      </c>
      <c r="H38" s="60" t="n">
        <f aca="false">F38*Assumptions!$B$5</f>
        <v>67.6495809683052</v>
      </c>
    </row>
    <row r="39" customFormat="false" ht="15" hidden="false" customHeight="true" outlineLevel="0" collapsed="false">
      <c r="A39" s="26" t="s">
        <v>378</v>
      </c>
      <c r="B39" s="57" t="n">
        <v>1</v>
      </c>
      <c r="C39" s="57" t="n">
        <f aca="false">B39*1.3</f>
        <v>1.3</v>
      </c>
      <c r="D39" s="58" t="n">
        <f aca="false">'Product Costs'!H24</f>
        <v>0.715868581675188</v>
      </c>
      <c r="E39" s="59" t="n">
        <f aca="false">B39*D39</f>
        <v>0.715868581675188</v>
      </c>
      <c r="F39" s="59" t="n">
        <f aca="false">C39*D39</f>
        <v>0.930629156177744</v>
      </c>
      <c r="G39" s="60" t="n">
        <f aca="false">E39*Assumptions!$B$5</f>
        <v>96.6422585261503</v>
      </c>
      <c r="H39" s="60" t="n">
        <f aca="false">F39*Assumptions!$B$5</f>
        <v>125.634936083995</v>
      </c>
    </row>
    <row r="40" customFormat="false" ht="15" hidden="false" customHeight="true" outlineLevel="0" collapsed="false">
      <c r="A40" s="26" t="s">
        <v>379</v>
      </c>
      <c r="B40" s="57" t="n">
        <v>0.5</v>
      </c>
      <c r="C40" s="57" t="n">
        <f aca="false">B40*1.3</f>
        <v>0.65</v>
      </c>
      <c r="D40" s="58" t="n">
        <f aca="false">'Product Costs'!H22</f>
        <v>0.313499188471617</v>
      </c>
      <c r="E40" s="59" t="n">
        <f aca="false">B40*D40</f>
        <v>0.156749594235808</v>
      </c>
      <c r="F40" s="59" t="n">
        <f aca="false">C40*D40</f>
        <v>0.203774472506551</v>
      </c>
      <c r="G40" s="60" t="n">
        <f aca="false">E40*Assumptions!$B$5</f>
        <v>21.1611952218341</v>
      </c>
      <c r="H40" s="60" t="n">
        <f aca="false">F40*Assumptions!$B$5</f>
        <v>27.5095537883844</v>
      </c>
    </row>
    <row r="41" customFormat="false" ht="15" hidden="false" customHeight="true" outlineLevel="0" collapsed="false">
      <c r="A41" s="26" t="s">
        <v>380</v>
      </c>
      <c r="B41" s="57" t="n">
        <v>0.6</v>
      </c>
      <c r="C41" s="57" t="n">
        <f aca="false">B41*1.3</f>
        <v>0.78</v>
      </c>
      <c r="D41" s="58" t="n">
        <f aca="false">'Product Costs'!H49</f>
        <v>0.0275334069875072</v>
      </c>
      <c r="E41" s="59" t="n">
        <f aca="false">B41*D41</f>
        <v>0.0165200441925043</v>
      </c>
      <c r="F41" s="59" t="n">
        <f aca="false">C41*D41</f>
        <v>0.0214760574502556</v>
      </c>
      <c r="G41" s="60" t="n">
        <f aca="false">E41*Assumptions!$B$5</f>
        <v>2.23020596598808</v>
      </c>
      <c r="H41" s="60" t="n">
        <f aca="false">F41*Assumptions!$B$5</f>
        <v>2.89926775578451</v>
      </c>
    </row>
    <row r="42" customFormat="false" ht="15" hidden="false" customHeight="true" outlineLevel="0" collapsed="false">
      <c r="A42" s="26" t="s">
        <v>381</v>
      </c>
      <c r="B42" s="57" t="n">
        <v>0.2</v>
      </c>
      <c r="C42" s="57" t="n">
        <f aca="false">B42*1.3</f>
        <v>0.26</v>
      </c>
      <c r="D42" s="58" t="n">
        <f aca="false">'Product Costs'!H50</f>
        <v>0.019273384891255</v>
      </c>
      <c r="E42" s="59" t="n">
        <f aca="false">B42*D42</f>
        <v>0.00385467697825101</v>
      </c>
      <c r="F42" s="59" t="n">
        <f aca="false">C42*D42</f>
        <v>0.00501108007172631</v>
      </c>
      <c r="G42" s="60" t="n">
        <f aca="false">E42*Assumptions!$B$5</f>
        <v>0.520381392063886</v>
      </c>
      <c r="H42" s="60" t="n">
        <f aca="false">F42*Assumptions!$B$5</f>
        <v>0.676495809683052</v>
      </c>
    </row>
    <row r="43" customFormat="false" ht="15" hidden="false" customHeight="true" outlineLevel="0" collapsed="false">
      <c r="A43" s="26" t="s">
        <v>382</v>
      </c>
      <c r="B43" s="57" t="n">
        <v>0.2</v>
      </c>
      <c r="C43" s="57" t="n">
        <f aca="false">B43*1.3</f>
        <v>0.26</v>
      </c>
      <c r="D43" s="58" t="n">
        <f aca="false">'Product Costs'!H47</f>
        <v>0.0413001104812608</v>
      </c>
      <c r="E43" s="59" t="n">
        <f aca="false">B43*D43</f>
        <v>0.00826002209625217</v>
      </c>
      <c r="F43" s="59" t="n">
        <f aca="false">C43*D43</f>
        <v>0.0107380287251278</v>
      </c>
      <c r="G43" s="60" t="n">
        <f aca="false">E43*Assumptions!$B$5</f>
        <v>1.11510298299404</v>
      </c>
      <c r="H43" s="60" t="n">
        <f aca="false">F43*Assumptions!$B$5</f>
        <v>1.44963387789225</v>
      </c>
    </row>
    <row r="44" customFormat="false" ht="15" hidden="false" customHeight="true" outlineLevel="0" collapsed="false">
      <c r="A44" s="26" t="s">
        <v>383</v>
      </c>
      <c r="B44" s="57" t="n">
        <v>0.2</v>
      </c>
      <c r="C44" s="57" t="n">
        <f aca="false">B44*1.3</f>
        <v>0.26</v>
      </c>
      <c r="D44" s="58" t="n">
        <f aca="false">'Product Costs'!H48</f>
        <v>0.068833517468768</v>
      </c>
      <c r="E44" s="59" t="n">
        <f aca="false">B44*D44</f>
        <v>0.0137667034937536</v>
      </c>
      <c r="F44" s="59" t="n">
        <f aca="false">C44*D44</f>
        <v>0.0178967145418797</v>
      </c>
      <c r="G44" s="60" t="n">
        <f aca="false">E44*Assumptions!$B$5</f>
        <v>1.85850497165674</v>
      </c>
      <c r="H44" s="60" t="n">
        <f aca="false">F44*Assumptions!$B$5</f>
        <v>2.41605646315376</v>
      </c>
    </row>
    <row r="45" customFormat="false" ht="15" hidden="false" customHeight="true" outlineLevel="0" collapsed="false">
      <c r="A45" s="26" t="s">
        <v>384</v>
      </c>
      <c r="B45" s="57" t="n">
        <v>0.3</v>
      </c>
      <c r="C45" s="57" t="n">
        <f aca="false">B45*1.3</f>
        <v>0.39</v>
      </c>
      <c r="D45" s="58" t="n">
        <f aca="false">'Product Costs'!H66</f>
        <v>0.0183556046583381</v>
      </c>
      <c r="E45" s="59" t="n">
        <f aca="false">B45*D45</f>
        <v>0.00550668139750144</v>
      </c>
      <c r="F45" s="59" t="n">
        <f aca="false">C45*D45</f>
        <v>0.00715868581675188</v>
      </c>
      <c r="G45" s="60" t="n">
        <f aca="false">E45*Assumptions!$B$5</f>
        <v>0.743401988662695</v>
      </c>
      <c r="H45" s="60" t="n">
        <f aca="false">F45*Assumptions!$B$5</f>
        <v>0.966422585261503</v>
      </c>
    </row>
    <row r="46" customFormat="false" ht="15" hidden="false" customHeight="true" outlineLevel="0" collapsed="false">
      <c r="A46" s="26" t="s">
        <v>395</v>
      </c>
      <c r="B46" s="57" t="n">
        <v>1.8</v>
      </c>
      <c r="C46" s="57" t="n">
        <f aca="false">B46*1.3</f>
        <v>2.34</v>
      </c>
      <c r="D46" s="58" t="n">
        <f aca="false">'Product Costs'!H21</f>
        <v>0.41403619530086</v>
      </c>
      <c r="E46" s="59" t="n">
        <f aca="false">B46*D46</f>
        <v>0.745265151541549</v>
      </c>
      <c r="F46" s="59" t="n">
        <f aca="false">C46*D46</f>
        <v>0.968844697004013</v>
      </c>
      <c r="G46" s="60" t="n">
        <f aca="false">E46*Assumptions!$B$5</f>
        <v>100.610795458109</v>
      </c>
      <c r="H46" s="60" t="n">
        <f aca="false">F46*Assumptions!$B$5</f>
        <v>130.794034095542</v>
      </c>
    </row>
    <row r="47" customFormat="false" ht="15" hidden="false" customHeight="true" outlineLevel="0" collapsed="false">
      <c r="A47" s="26" t="s">
        <v>396</v>
      </c>
      <c r="B47" s="57" t="n">
        <v>1</v>
      </c>
      <c r="C47" s="57" t="n">
        <f aca="false">B47*1.3</f>
        <v>1.3</v>
      </c>
      <c r="D47" s="58" t="n">
        <f aca="false">'Product Costs'!H23</f>
        <v>0.337284235596963</v>
      </c>
      <c r="E47" s="59" t="n">
        <f aca="false">B47*D47</f>
        <v>0.337284235596963</v>
      </c>
      <c r="F47" s="59" t="n">
        <f aca="false">C47*D47</f>
        <v>0.438469506276052</v>
      </c>
      <c r="G47" s="60" t="n">
        <f aca="false">E47*Assumptions!$B$5</f>
        <v>45.5333718055901</v>
      </c>
      <c r="H47" s="60" t="n">
        <f aca="false">F47*Assumptions!$B$5</f>
        <v>59.1933833472671</v>
      </c>
    </row>
    <row r="48" customFormat="false" ht="15" hidden="false" customHeight="true" outlineLevel="0" collapsed="false">
      <c r="A48" s="26" t="s">
        <v>397</v>
      </c>
      <c r="B48" s="57" t="n">
        <v>1</v>
      </c>
      <c r="C48" s="57" t="n">
        <f aca="false">B48*1.3</f>
        <v>1.3</v>
      </c>
      <c r="D48" s="58" t="n">
        <f aca="false">'Product Costs'!H33</f>
        <v>2.25273329897786</v>
      </c>
      <c r="E48" s="59" t="n">
        <f aca="false">B48*D48</f>
        <v>2.25273329897786</v>
      </c>
      <c r="F48" s="59" t="n">
        <f aca="false">C48*D48</f>
        <v>2.92855328867122</v>
      </c>
      <c r="G48" s="60" t="n">
        <f aca="false">E48*Assumptions!$B$5</f>
        <v>304.118995362012</v>
      </c>
      <c r="H48" s="60" t="n">
        <f aca="false">F48*Assumptions!$B$5</f>
        <v>395.354693970615</v>
      </c>
    </row>
    <row r="49" customFormat="false" ht="15" hidden="false" customHeight="true" outlineLevel="0" collapsed="false">
      <c r="A49" s="26" t="s">
        <v>398</v>
      </c>
      <c r="B49" s="57" t="n">
        <v>1</v>
      </c>
      <c r="C49" s="57" t="n">
        <f aca="false">B49*1.3</f>
        <v>1.3</v>
      </c>
      <c r="D49" s="58" t="n">
        <f aca="false">'Product Costs'!H6</f>
        <v>0.165365807732776</v>
      </c>
      <c r="E49" s="59" t="n">
        <f aca="false">B49*D49</f>
        <v>0.165365807732776</v>
      </c>
      <c r="F49" s="59" t="n">
        <f aca="false">C49*D49</f>
        <v>0.214975550052609</v>
      </c>
      <c r="G49" s="60" t="n">
        <f aca="false">E49*Assumptions!$B$5</f>
        <v>22.3243840439248</v>
      </c>
      <c r="H49" s="60" t="n">
        <f aca="false">F49*Assumptions!$B$5</f>
        <v>29.0216992571022</v>
      </c>
    </row>
    <row r="50" customFormat="false" ht="15" hidden="false" customHeight="true" outlineLevel="0" collapsed="false">
      <c r="A50" s="26" t="s">
        <v>399</v>
      </c>
      <c r="B50" s="57" t="n">
        <v>1</v>
      </c>
      <c r="C50" s="57" t="n">
        <f aca="false">B50*1.3</f>
        <v>1.3</v>
      </c>
      <c r="D50" s="58" t="n">
        <f aca="false">'Product Costs'!H71</f>
        <v>0.724563341776506</v>
      </c>
      <c r="E50" s="59" t="n">
        <f aca="false">B50*D50</f>
        <v>0.724563341776506</v>
      </c>
      <c r="F50" s="59" t="n">
        <f aca="false">C50*D50</f>
        <v>0.941932344309457</v>
      </c>
      <c r="G50" s="60" t="n">
        <f aca="false">E50*Assumptions!$B$5</f>
        <v>97.8160511398283</v>
      </c>
      <c r="H50" s="60" t="n">
        <f aca="false">F50*Assumptions!$B$5</f>
        <v>127.160866481777</v>
      </c>
    </row>
    <row r="51" customFormat="false" ht="15" hidden="false" customHeight="true" outlineLevel="0" collapsed="false">
      <c r="A51" s="26" t="s">
        <v>400</v>
      </c>
      <c r="B51" s="57" t="n">
        <v>1</v>
      </c>
      <c r="C51" s="57" t="n">
        <f aca="false">B51*1.3</f>
        <v>1.3</v>
      </c>
      <c r="D51" s="58" t="n">
        <f aca="false">'Product Costs'!H32</f>
        <v>0.349304417005689</v>
      </c>
      <c r="E51" s="59" t="n">
        <f aca="false">B51*D51</f>
        <v>0.349304417005689</v>
      </c>
      <c r="F51" s="59" t="n">
        <f aca="false">C51*D51</f>
        <v>0.454095742107395</v>
      </c>
      <c r="G51" s="60" t="n">
        <f aca="false">E51*Assumptions!$B$5</f>
        <v>47.156096295768</v>
      </c>
      <c r="H51" s="60" t="n">
        <f aca="false">F51*Assumptions!$B$5</f>
        <v>61.3029251844983</v>
      </c>
    </row>
    <row r="52" customFormat="false" ht="15" hidden="false" customHeight="true" outlineLevel="0" collapsed="false">
      <c r="A52" s="26" t="s">
        <v>401</v>
      </c>
      <c r="B52" s="57" t="n">
        <v>1</v>
      </c>
      <c r="C52" s="57" t="n">
        <f aca="false">B52*1.3</f>
        <v>1.3</v>
      </c>
      <c r="D52" s="58" t="n">
        <f aca="false">'Product Costs'!H11</f>
        <v>0.159693760527542</v>
      </c>
      <c r="E52" s="59" t="n">
        <f aca="false">B52*D52</f>
        <v>0.159693760527542</v>
      </c>
      <c r="F52" s="59" t="n">
        <f aca="false">C52*D52</f>
        <v>0.207601888685804</v>
      </c>
      <c r="G52" s="60" t="n">
        <f aca="false">E52*Assumptions!$B$5</f>
        <v>21.5586576712181</v>
      </c>
      <c r="H52" s="60" t="n">
        <f aca="false">F52*Assumptions!$B$5</f>
        <v>28.0262549725836</v>
      </c>
    </row>
    <row r="53" customFormat="false" ht="15" hidden="false" customHeight="true" outlineLevel="0" collapsed="false">
      <c r="A53" s="26" t="s">
        <v>402</v>
      </c>
      <c r="B53" s="57" t="n">
        <v>0.2</v>
      </c>
      <c r="C53" s="57" t="n">
        <f aca="false">B53*1.3</f>
        <v>0.26</v>
      </c>
      <c r="D53" s="58" t="n">
        <f aca="false">'Product Costs'!H53</f>
        <v>0.137667034937536</v>
      </c>
      <c r="E53" s="59" t="n">
        <f aca="false">B53*D53</f>
        <v>0.0275334069875072</v>
      </c>
      <c r="F53" s="59" t="n">
        <f aca="false">C53*D53</f>
        <v>0.0357934290837594</v>
      </c>
      <c r="G53" s="60" t="n">
        <f aca="false">E53*Assumptions!$B$5</f>
        <v>3.71700994331347</v>
      </c>
      <c r="H53" s="60" t="n">
        <f aca="false">F53*Assumptions!$B$5</f>
        <v>4.83211292630752</v>
      </c>
    </row>
    <row r="54" customFormat="false" ht="15" hidden="false" customHeight="true" outlineLevel="0" collapsed="false">
      <c r="A54" s="26" t="s">
        <v>403</v>
      </c>
      <c r="B54" s="57" t="n">
        <v>1</v>
      </c>
      <c r="C54" s="57" t="n">
        <f aca="false">B54*1.3</f>
        <v>1.3</v>
      </c>
      <c r="D54" s="58" t="n">
        <f aca="false">'Product Costs'!H57</f>
        <v>0.0504779128104299</v>
      </c>
      <c r="E54" s="59" t="n">
        <f aca="false">B54*D54</f>
        <v>0.0504779128104299</v>
      </c>
      <c r="F54" s="59" t="n">
        <f aca="false">C54*D54</f>
        <v>0.0656212866535589</v>
      </c>
      <c r="G54" s="60" t="n">
        <f aca="false">E54*Assumptions!$B$5</f>
        <v>6.81451822940804</v>
      </c>
      <c r="H54" s="60" t="n">
        <f aca="false">F54*Assumptions!$B$5</f>
        <v>8.85887369823045</v>
      </c>
    </row>
    <row r="55" customFormat="false" ht="15" hidden="false" customHeight="true" outlineLevel="0" collapsed="false">
      <c r="A55" s="26" t="s">
        <v>404</v>
      </c>
      <c r="B55" s="57" t="n">
        <v>1</v>
      </c>
      <c r="C55" s="57" t="n">
        <f aca="false">B55*1.3</f>
        <v>1.3</v>
      </c>
      <c r="D55" s="58" t="n">
        <f aca="false">'Product Costs'!H58</f>
        <v>0.0183556046583381</v>
      </c>
      <c r="E55" s="59" t="n">
        <f aca="false">B55*D55</f>
        <v>0.0183556046583381</v>
      </c>
      <c r="F55" s="59" t="n">
        <f aca="false">C55*D55</f>
        <v>0.0238622860558396</v>
      </c>
      <c r="G55" s="60" t="n">
        <f aca="false">E55*Assumptions!$B$5</f>
        <v>2.47800662887565</v>
      </c>
      <c r="H55" s="60" t="n">
        <f aca="false">F55*Assumptions!$B$5</f>
        <v>3.22140861753834</v>
      </c>
    </row>
    <row r="56" customFormat="false" ht="15" hidden="false" customHeight="true" outlineLevel="0" collapsed="false">
      <c r="A56" s="26" t="s">
        <v>405</v>
      </c>
      <c r="B56" s="57" t="n">
        <v>1.3</v>
      </c>
      <c r="C56" s="57" t="n">
        <f aca="false">B56*1.3</f>
        <v>1.69</v>
      </c>
      <c r="D56" s="58" t="n">
        <f aca="false">'Product Costs'!H55</f>
        <v>0.0642446163041835</v>
      </c>
      <c r="E56" s="59" t="n">
        <f aca="false">B56*D56</f>
        <v>0.0835180011954385</v>
      </c>
      <c r="F56" s="59" t="n">
        <f aca="false">C56*D56</f>
        <v>0.10857340155407</v>
      </c>
      <c r="G56" s="60" t="n">
        <f aca="false">E56*Assumptions!$B$5</f>
        <v>11.2749301613842</v>
      </c>
      <c r="H56" s="60" t="n">
        <f aca="false">F56*Assumptions!$B$5</f>
        <v>14.6574092097995</v>
      </c>
    </row>
    <row r="57" customFormat="false" ht="15" hidden="false" customHeight="true" outlineLevel="0" collapsed="false">
      <c r="A57" s="26" t="s">
        <v>406</v>
      </c>
      <c r="B57" s="57" t="n">
        <v>1</v>
      </c>
      <c r="C57" s="57" t="n">
        <f aca="false">B57*1.3</f>
        <v>1.3</v>
      </c>
      <c r="D57" s="58" t="n">
        <f aca="false">'Product Costs'!H54</f>
        <v>0.0573612645573067</v>
      </c>
      <c r="E57" s="59" t="n">
        <f aca="false">B57*D57</f>
        <v>0.0573612645573067</v>
      </c>
      <c r="F57" s="59" t="n">
        <f aca="false">C57*D57</f>
        <v>0.0745696439244987</v>
      </c>
      <c r="G57" s="60" t="n">
        <f aca="false">E57*Assumptions!$B$5</f>
        <v>7.7437707152364</v>
      </c>
      <c r="H57" s="60" t="n">
        <f aca="false">F57*Assumptions!$B$5</f>
        <v>10.0669019298073</v>
      </c>
    </row>
    <row r="58" customFormat="false" ht="15" hidden="false" customHeight="true" outlineLevel="0" collapsed="false">
      <c r="A58" s="26" t="s">
        <v>407</v>
      </c>
      <c r="B58" s="57" t="n">
        <v>1</v>
      </c>
      <c r="C58" s="57" t="n">
        <f aca="false">B58*1.3</f>
        <v>1.3</v>
      </c>
      <c r="D58" s="58" t="n">
        <f aca="false">'Product Costs'!H59</f>
        <v>0.0103250276203152</v>
      </c>
      <c r="E58" s="59" t="n">
        <f aca="false">B58*D58</f>
        <v>0.0103250276203152</v>
      </c>
      <c r="F58" s="59" t="n">
        <f aca="false">C58*D58</f>
        <v>0.0134225359064098</v>
      </c>
      <c r="G58" s="60" t="n">
        <f aca="false">E58*Assumptions!$B$5</f>
        <v>1.39387872874255</v>
      </c>
      <c r="H58" s="60" t="n">
        <f aca="false">F58*Assumptions!$B$5</f>
        <v>1.81204234736532</v>
      </c>
    </row>
    <row r="59" customFormat="false" ht="15" hidden="false" customHeight="true" outlineLevel="0" collapsed="false">
      <c r="A59" s="26" t="s">
        <v>408</v>
      </c>
      <c r="B59" s="57" t="n">
        <v>1</v>
      </c>
      <c r="C59" s="57" t="n">
        <f aca="false">B59*1.3</f>
        <v>1.3</v>
      </c>
      <c r="D59" s="58" t="n">
        <f aca="false">'Product Costs'!H60</f>
        <v>0.0160611540760459</v>
      </c>
      <c r="E59" s="59" t="n">
        <f aca="false">B59*D59</f>
        <v>0.0160611540760459</v>
      </c>
      <c r="F59" s="59" t="n">
        <f aca="false">C59*D59</f>
        <v>0.0208795002988596</v>
      </c>
      <c r="G59" s="60" t="n">
        <f aca="false">E59*Assumptions!$B$5</f>
        <v>2.16825580026619</v>
      </c>
      <c r="H59" s="60" t="n">
        <f aca="false">F59*Assumptions!$B$5</f>
        <v>2.81873254034605</v>
      </c>
    </row>
    <row r="60" customFormat="false" ht="15" hidden="false" customHeight="true" outlineLevel="0" collapsed="false">
      <c r="A60" s="26" t="s">
        <v>409</v>
      </c>
      <c r="B60" s="57" t="n">
        <v>0.3</v>
      </c>
      <c r="C60" s="57" t="n">
        <f aca="false">B60*1.3</f>
        <v>0.39</v>
      </c>
      <c r="D60" s="58" t="n">
        <f aca="false">'Product Costs'!H67</f>
        <v>0.0321223081520917</v>
      </c>
      <c r="E60" s="59" t="n">
        <f aca="false">B60*D60</f>
        <v>0.00963669244562752</v>
      </c>
      <c r="F60" s="59" t="n">
        <f aca="false">C60*D60</f>
        <v>0.0125277001793158</v>
      </c>
      <c r="G60" s="60" t="n">
        <f aca="false">E60*Assumptions!$B$5</f>
        <v>1.30095348015972</v>
      </c>
      <c r="H60" s="60" t="n">
        <f aca="false">F60*Assumptions!$B$5</f>
        <v>1.69123952420763</v>
      </c>
    </row>
    <row r="61" customFormat="false" ht="15" hidden="false" customHeight="true" outlineLevel="0" collapsed="false">
      <c r="A61" s="26" t="s">
        <v>410</v>
      </c>
      <c r="B61" s="57" t="n">
        <v>0.3</v>
      </c>
      <c r="C61" s="57" t="n">
        <f aca="false">B61*1.3</f>
        <v>0.39</v>
      </c>
      <c r="D61" s="58" t="n">
        <f aca="false">'Product Costs'!H12</f>
        <v>0.137667034937536</v>
      </c>
      <c r="E61" s="59" t="n">
        <f aca="false">B61*D61</f>
        <v>0.0413001104812608</v>
      </c>
      <c r="F61" s="59" t="n">
        <f aca="false">C61*D61</f>
        <v>0.0536901436256391</v>
      </c>
      <c r="G61" s="60" t="n">
        <f aca="false">E61*Assumptions!$B$5</f>
        <v>5.57551491497021</v>
      </c>
      <c r="H61" s="60" t="n">
        <f aca="false">F61*Assumptions!$B$5</f>
        <v>7.24816938946128</v>
      </c>
    </row>
    <row r="62" customFormat="false" ht="15" hidden="false" customHeight="true" outlineLevel="0" collapsed="false">
      <c r="A62" s="26" t="s">
        <v>385</v>
      </c>
      <c r="B62" s="57" t="n">
        <v>1</v>
      </c>
      <c r="C62" s="57" t="n">
        <f aca="false">B62*1.3</f>
        <v>1.3</v>
      </c>
      <c r="D62" s="58" t="n">
        <f aca="false">'Product Costs'!H14</f>
        <v>0.405146228945301</v>
      </c>
      <c r="E62" s="59" t="n">
        <f aca="false">B62*D62</f>
        <v>0.405146228945301</v>
      </c>
      <c r="F62" s="59" t="n">
        <f aca="false">C62*D62</f>
        <v>0.526690097628892</v>
      </c>
      <c r="G62" s="60" t="n">
        <f aca="false">E62*Assumptions!$B$5</f>
        <v>54.6947409076157</v>
      </c>
      <c r="H62" s="60" t="n">
        <f aca="false">F62*Assumptions!$B$5</f>
        <v>71.1031631799004</v>
      </c>
    </row>
    <row r="63" customFormat="false" ht="15" hidden="false" customHeight="true" outlineLevel="0" collapsed="false">
      <c r="A63" s="26" t="s">
        <v>411</v>
      </c>
      <c r="B63" s="57" t="n">
        <v>0.2</v>
      </c>
      <c r="C63" s="57" t="n">
        <f aca="false">B63*1.3</f>
        <v>0.26</v>
      </c>
      <c r="D63" s="58" t="n">
        <f aca="false">'Product Costs'!H42</f>
        <v>0.124024355799582</v>
      </c>
      <c r="E63" s="59" t="n">
        <f aca="false">B63*D63</f>
        <v>0.0248048711599164</v>
      </c>
      <c r="F63" s="59" t="n">
        <f aca="false">C63*D63</f>
        <v>0.0322463325078913</v>
      </c>
      <c r="G63" s="60" t="n">
        <f aca="false">E63*Assumptions!$B$5</f>
        <v>3.34865760658872</v>
      </c>
      <c r="H63" s="60" t="n">
        <f aca="false">F63*Assumptions!$B$5</f>
        <v>4.35325488856533</v>
      </c>
    </row>
    <row r="64" customFormat="false" ht="15" hidden="false" customHeight="true" outlineLevel="0" collapsed="false">
      <c r="A64" s="61" t="s">
        <v>386</v>
      </c>
      <c r="B64" s="62"/>
      <c r="C64" s="62"/>
      <c r="D64" s="62"/>
      <c r="E64" s="63" t="n">
        <f aca="false">SUM(E32:E63)</f>
        <v>9.58862558445575</v>
      </c>
      <c r="F64" s="63" t="n">
        <f aca="false">SUM(F32:F63)</f>
        <v>12.4652132597925</v>
      </c>
      <c r="G64" s="64" t="n">
        <f aca="false">E64*Assumptions!$B$5</f>
        <v>1294.46445390153</v>
      </c>
      <c r="H64" s="64" t="n">
        <f aca="false">F64*Assumptions!$B$5</f>
        <v>1682.80379007198</v>
      </c>
    </row>
    <row r="65" customFormat="false" ht="15" hidden="false" customHeight="true" outlineLevel="0" collapsed="false">
      <c r="A65" s="26" t="s">
        <v>387</v>
      </c>
      <c r="E65" s="65" t="n">
        <f aca="false">E64*Assumptions!$B$9</f>
        <v>1.43829383766836</v>
      </c>
      <c r="F65" s="65" t="n">
        <f aca="false">F64*Assumptions!$B$9</f>
        <v>1.86978198896887</v>
      </c>
      <c r="G65" s="28" t="n">
        <f aca="false">E65*Assumptions!$B$5</f>
        <v>194.169668085229</v>
      </c>
      <c r="H65" s="28" t="n">
        <f aca="false">F65*Assumptions!$B$5</f>
        <v>252.420568510798</v>
      </c>
    </row>
    <row r="66" customFormat="false" ht="15" hidden="false" customHeight="true" outlineLevel="0" collapsed="false">
      <c r="A66" s="61" t="s">
        <v>388</v>
      </c>
      <c r="B66" s="62"/>
      <c r="C66" s="62"/>
      <c r="D66" s="62"/>
      <c r="E66" s="63" t="n">
        <f aca="false">E64+E65</f>
        <v>11.0269194221241</v>
      </c>
      <c r="F66" s="63" t="n">
        <f aca="false">F64+F65</f>
        <v>14.3349952487614</v>
      </c>
      <c r="G66" s="64" t="n">
        <f aca="false">E66*Assumptions!$B$5</f>
        <v>1488.63412198676</v>
      </c>
      <c r="H66" s="64" t="n">
        <f aca="false">F66*Assumptions!$B$5</f>
        <v>1935.22435858278</v>
      </c>
    </row>
    <row r="67" customFormat="false" ht="15" hidden="false" customHeight="true" outlineLevel="0" collapsed="false">
      <c r="A67" s="66" t="s">
        <v>389</v>
      </c>
      <c r="B67" s="67"/>
      <c r="C67" s="67"/>
      <c r="D67" s="67"/>
      <c r="E67" s="68" t="n">
        <f aca="false">G67/Assumptions!$B$5</f>
        <v>133.333333333333</v>
      </c>
      <c r="F67" s="68" t="n">
        <f aca="false">H67/Assumptions!$B$5</f>
        <v>162.962962962963</v>
      </c>
      <c r="G67" s="69" t="n">
        <v>18000</v>
      </c>
      <c r="H67" s="69" t="n">
        <v>22000</v>
      </c>
    </row>
    <row r="68" customFormat="false" ht="15" hidden="false" customHeight="true" outlineLevel="0" collapsed="false">
      <c r="A68" s="61" t="s">
        <v>390</v>
      </c>
      <c r="B68" s="62"/>
      <c r="C68" s="62"/>
      <c r="D68" s="62"/>
      <c r="E68" s="63" t="n">
        <f aca="false">E67-E66</f>
        <v>122.306413911209</v>
      </c>
      <c r="F68" s="63" t="n">
        <f aca="false">F67-F66</f>
        <v>148.627967714202</v>
      </c>
      <c r="G68" s="64" t="n">
        <f aca="false">G67-G66</f>
        <v>16511.3658780132</v>
      </c>
      <c r="H68" s="64" t="n">
        <f aca="false">H67-H66</f>
        <v>20064.7756414172</v>
      </c>
    </row>
    <row r="69" customFormat="false" ht="15" hidden="false" customHeight="true" outlineLevel="0" collapsed="false">
      <c r="A69" s="61" t="s">
        <v>391</v>
      </c>
      <c r="B69" s="62"/>
      <c r="C69" s="62"/>
      <c r="D69" s="62"/>
      <c r="E69" s="62"/>
      <c r="F69" s="62"/>
      <c r="G69" s="70" t="n">
        <f aca="false">G68/G67</f>
        <v>0.917298104334069</v>
      </c>
      <c r="H69" s="70" t="n">
        <f aca="false">H68/H67</f>
        <v>0.912035256428055</v>
      </c>
    </row>
    <row r="71" customFormat="false" ht="15" hidden="false" customHeight="true" outlineLevel="0" collapsed="false">
      <c r="A71" s="22" t="s">
        <v>412</v>
      </c>
      <c r="B71" s="55" t="s">
        <v>413</v>
      </c>
      <c r="C71" s="23"/>
      <c r="D71" s="23"/>
      <c r="E71" s="23"/>
      <c r="F71" s="23"/>
      <c r="G71" s="23"/>
      <c r="H71" s="23"/>
    </row>
    <row r="72" customFormat="false" ht="259.5" hidden="false" customHeight="true" outlineLevel="0" collapsed="false">
      <c r="A72" s="26" t="s">
        <v>361</v>
      </c>
      <c r="B72" s="56" t="s">
        <v>414</v>
      </c>
      <c r="C72" s="56"/>
      <c r="D72" s="56"/>
      <c r="E72" s="56"/>
      <c r="F72" s="56"/>
      <c r="G72" s="56"/>
      <c r="H72" s="56"/>
    </row>
    <row r="73" customFormat="false" ht="23.25" hidden="false" customHeight="true" outlineLevel="0" collapsed="false">
      <c r="A73" s="24" t="s">
        <v>363</v>
      </c>
      <c r="B73" s="25" t="s">
        <v>364</v>
      </c>
      <c r="C73" s="25" t="s">
        <v>365</v>
      </c>
      <c r="D73" s="25" t="s">
        <v>366</v>
      </c>
      <c r="E73" s="25" t="s">
        <v>367</v>
      </c>
      <c r="F73" s="25" t="s">
        <v>368</v>
      </c>
      <c r="G73" s="25" t="s">
        <v>369</v>
      </c>
      <c r="H73" s="25" t="s">
        <v>370</v>
      </c>
    </row>
    <row r="74" customFormat="false" ht="15" hidden="false" customHeight="true" outlineLevel="0" collapsed="false">
      <c r="A74" s="26" t="s">
        <v>373</v>
      </c>
      <c r="B74" s="57" t="n">
        <v>1</v>
      </c>
      <c r="C74" s="57" t="n">
        <f aca="false">B74*1.3</f>
        <v>1.3</v>
      </c>
      <c r="D74" s="58" t="n">
        <f aca="false">'Product Costs'!H10</f>
        <v>0.917780232916907</v>
      </c>
      <c r="E74" s="59" t="n">
        <f aca="false">B74*D74</f>
        <v>0.917780232916907</v>
      </c>
      <c r="F74" s="59" t="n">
        <f aca="false">C74*D74</f>
        <v>1.19311430279198</v>
      </c>
      <c r="G74" s="60" t="n">
        <f aca="false">E74*Assumptions!$B$5</f>
        <v>123.900331443782</v>
      </c>
      <c r="H74" s="60" t="n">
        <f aca="false">F74*Assumptions!$B$5</f>
        <v>161.070430876917</v>
      </c>
    </row>
    <row r="75" customFormat="false" ht="15" hidden="false" customHeight="true" outlineLevel="0" collapsed="false">
      <c r="A75" s="26" t="s">
        <v>374</v>
      </c>
      <c r="B75" s="57" t="n">
        <v>1</v>
      </c>
      <c r="C75" s="57" t="n">
        <f aca="false">B75*1.3</f>
        <v>1.3</v>
      </c>
      <c r="D75" s="58" t="n">
        <f aca="false">'Product Costs'!H20</f>
        <v>0.206500552406304</v>
      </c>
      <c r="E75" s="59" t="n">
        <f aca="false">B75*D75</f>
        <v>0.206500552406304</v>
      </c>
      <c r="F75" s="59" t="n">
        <f aca="false">C75*D75</f>
        <v>0.268450718128195</v>
      </c>
      <c r="G75" s="60" t="n">
        <f aca="false">E75*Assumptions!$B$5</f>
        <v>27.8775745748511</v>
      </c>
      <c r="H75" s="60" t="n">
        <f aca="false">F75*Assumptions!$B$5</f>
        <v>36.2408469473064</v>
      </c>
    </row>
    <row r="76" customFormat="false" ht="15" hidden="false" customHeight="true" outlineLevel="0" collapsed="false">
      <c r="A76" s="26" t="s">
        <v>375</v>
      </c>
      <c r="B76" s="57" t="n">
        <v>1</v>
      </c>
      <c r="C76" s="57" t="n">
        <f aca="false">B76*1.3</f>
        <v>1.3</v>
      </c>
      <c r="D76" s="58" t="n">
        <f aca="false">'Product Costs'!H19</f>
        <v>0.289100773368826</v>
      </c>
      <c r="E76" s="59" t="n">
        <f aca="false">B76*D76</f>
        <v>0.289100773368826</v>
      </c>
      <c r="F76" s="59" t="n">
        <f aca="false">C76*D76</f>
        <v>0.375831005379474</v>
      </c>
      <c r="G76" s="60" t="n">
        <f aca="false">E76*Assumptions!$B$5</f>
        <v>39.0286044047915</v>
      </c>
      <c r="H76" s="60" t="n">
        <f aca="false">F76*Assumptions!$B$5</f>
        <v>50.7371857262289</v>
      </c>
    </row>
    <row r="77" customFormat="false" ht="15" hidden="false" customHeight="true" outlineLevel="0" collapsed="false">
      <c r="A77" s="26" t="s">
        <v>376</v>
      </c>
      <c r="B77" s="57" t="n">
        <v>1</v>
      </c>
      <c r="C77" s="57" t="n">
        <f aca="false">B77*1.3</f>
        <v>1.3</v>
      </c>
      <c r="D77" s="58" t="n">
        <f aca="false">'Product Costs'!H18</f>
        <v>0.68833517468768</v>
      </c>
      <c r="E77" s="59" t="n">
        <f aca="false">B77*D77</f>
        <v>0.68833517468768</v>
      </c>
      <c r="F77" s="59" t="n">
        <f aca="false">C77*D77</f>
        <v>0.894835727093985</v>
      </c>
      <c r="G77" s="60" t="n">
        <f aca="false">E77*Assumptions!$B$5</f>
        <v>92.9252485828368</v>
      </c>
      <c r="H77" s="60" t="n">
        <f aca="false">F77*Assumptions!$B$5</f>
        <v>120.802823157688</v>
      </c>
    </row>
    <row r="78" customFormat="false" ht="15" hidden="false" customHeight="true" outlineLevel="0" collapsed="false">
      <c r="A78" s="26" t="s">
        <v>377</v>
      </c>
      <c r="B78" s="57" t="n">
        <v>1</v>
      </c>
      <c r="C78" s="57" t="n">
        <f aca="false">B78*1.3</f>
        <v>1.3</v>
      </c>
      <c r="D78" s="58" t="n">
        <f aca="false">'Product Costs'!H36</f>
        <v>0.385467697825101</v>
      </c>
      <c r="E78" s="59" t="n">
        <f aca="false">B78*D78</f>
        <v>0.385467697825101</v>
      </c>
      <c r="F78" s="59" t="n">
        <f aca="false">C78*D78</f>
        <v>0.501108007172631</v>
      </c>
      <c r="G78" s="60" t="n">
        <f aca="false">E78*Assumptions!$B$5</f>
        <v>52.0381392063886</v>
      </c>
      <c r="H78" s="60" t="n">
        <f aca="false">F78*Assumptions!$B$5</f>
        <v>67.6495809683052</v>
      </c>
    </row>
    <row r="79" customFormat="false" ht="15" hidden="false" customHeight="true" outlineLevel="0" collapsed="false">
      <c r="A79" s="26" t="s">
        <v>378</v>
      </c>
      <c r="B79" s="57" t="n">
        <v>1</v>
      </c>
      <c r="C79" s="57" t="n">
        <f aca="false">B79*1.3</f>
        <v>1.3</v>
      </c>
      <c r="D79" s="58" t="n">
        <f aca="false">'Product Costs'!H24</f>
        <v>0.715868581675188</v>
      </c>
      <c r="E79" s="59" t="n">
        <f aca="false">B79*D79</f>
        <v>0.715868581675188</v>
      </c>
      <c r="F79" s="59" t="n">
        <f aca="false">C79*D79</f>
        <v>0.930629156177744</v>
      </c>
      <c r="G79" s="60" t="n">
        <f aca="false">E79*Assumptions!$B$5</f>
        <v>96.6422585261503</v>
      </c>
      <c r="H79" s="60" t="n">
        <f aca="false">F79*Assumptions!$B$5</f>
        <v>125.634936083995</v>
      </c>
    </row>
    <row r="80" customFormat="false" ht="15" hidden="false" customHeight="true" outlineLevel="0" collapsed="false">
      <c r="A80" s="26" t="s">
        <v>379</v>
      </c>
      <c r="B80" s="57" t="n">
        <v>0.5</v>
      </c>
      <c r="C80" s="57" t="n">
        <f aca="false">B80*1.3</f>
        <v>0.65</v>
      </c>
      <c r="D80" s="58" t="n">
        <f aca="false">'Product Costs'!H22</f>
        <v>0.313499188471617</v>
      </c>
      <c r="E80" s="59" t="n">
        <f aca="false">B80*D80</f>
        <v>0.156749594235808</v>
      </c>
      <c r="F80" s="59" t="n">
        <f aca="false">C80*D80</f>
        <v>0.203774472506551</v>
      </c>
      <c r="G80" s="60" t="n">
        <f aca="false">E80*Assumptions!$B$5</f>
        <v>21.1611952218341</v>
      </c>
      <c r="H80" s="60" t="n">
        <f aca="false">F80*Assumptions!$B$5</f>
        <v>27.5095537883844</v>
      </c>
    </row>
    <row r="81" customFormat="false" ht="15" hidden="false" customHeight="true" outlineLevel="0" collapsed="false">
      <c r="A81" s="26" t="s">
        <v>380</v>
      </c>
      <c r="B81" s="57" t="n">
        <v>0.6</v>
      </c>
      <c r="C81" s="57" t="n">
        <f aca="false">B81*1.3</f>
        <v>0.78</v>
      </c>
      <c r="D81" s="58" t="n">
        <f aca="false">'Product Costs'!H49</f>
        <v>0.0275334069875072</v>
      </c>
      <c r="E81" s="59" t="n">
        <f aca="false">B81*D81</f>
        <v>0.0165200441925043</v>
      </c>
      <c r="F81" s="59" t="n">
        <f aca="false">C81*D81</f>
        <v>0.0214760574502556</v>
      </c>
      <c r="G81" s="60" t="n">
        <f aca="false">E81*Assumptions!$B$5</f>
        <v>2.23020596598808</v>
      </c>
      <c r="H81" s="60" t="n">
        <f aca="false">F81*Assumptions!$B$5</f>
        <v>2.89926775578451</v>
      </c>
    </row>
    <row r="82" customFormat="false" ht="15" hidden="false" customHeight="true" outlineLevel="0" collapsed="false">
      <c r="A82" s="26" t="s">
        <v>381</v>
      </c>
      <c r="B82" s="57" t="n">
        <v>0.2</v>
      </c>
      <c r="C82" s="57" t="n">
        <f aca="false">B82*1.3</f>
        <v>0.26</v>
      </c>
      <c r="D82" s="58" t="n">
        <f aca="false">'Product Costs'!H50</f>
        <v>0.019273384891255</v>
      </c>
      <c r="E82" s="59" t="n">
        <f aca="false">B82*D82</f>
        <v>0.00385467697825101</v>
      </c>
      <c r="F82" s="59" t="n">
        <f aca="false">C82*D82</f>
        <v>0.00501108007172631</v>
      </c>
      <c r="G82" s="60" t="n">
        <f aca="false">E82*Assumptions!$B$5</f>
        <v>0.520381392063886</v>
      </c>
      <c r="H82" s="60" t="n">
        <f aca="false">F82*Assumptions!$B$5</f>
        <v>0.676495809683052</v>
      </c>
    </row>
    <row r="83" customFormat="false" ht="15" hidden="false" customHeight="true" outlineLevel="0" collapsed="false">
      <c r="A83" s="26" t="s">
        <v>382</v>
      </c>
      <c r="B83" s="57" t="n">
        <v>0.3</v>
      </c>
      <c r="C83" s="57" t="n">
        <f aca="false">B83*1.3</f>
        <v>0.39</v>
      </c>
      <c r="D83" s="58" t="n">
        <f aca="false">'Product Costs'!H47</f>
        <v>0.0413001104812608</v>
      </c>
      <c r="E83" s="59" t="n">
        <f aca="false">B83*D83</f>
        <v>0.0123900331443782</v>
      </c>
      <c r="F83" s="59" t="n">
        <f aca="false">C83*D83</f>
        <v>0.0161070430876917</v>
      </c>
      <c r="G83" s="60" t="n">
        <f aca="false">E83*Assumptions!$B$5</f>
        <v>1.67265447449106</v>
      </c>
      <c r="H83" s="60" t="n">
        <f aca="false">F83*Assumptions!$B$5</f>
        <v>2.17445081683838</v>
      </c>
    </row>
    <row r="84" customFormat="false" ht="15" hidden="false" customHeight="true" outlineLevel="0" collapsed="false">
      <c r="A84" s="26" t="s">
        <v>383</v>
      </c>
      <c r="B84" s="57" t="n">
        <v>0.2</v>
      </c>
      <c r="C84" s="57" t="n">
        <f aca="false">B84*1.3</f>
        <v>0.26</v>
      </c>
      <c r="D84" s="58" t="n">
        <f aca="false">'Product Costs'!H48</f>
        <v>0.068833517468768</v>
      </c>
      <c r="E84" s="59" t="n">
        <f aca="false">B84*D84</f>
        <v>0.0137667034937536</v>
      </c>
      <c r="F84" s="59" t="n">
        <f aca="false">C84*D84</f>
        <v>0.0178967145418797</v>
      </c>
      <c r="G84" s="60" t="n">
        <f aca="false">E84*Assumptions!$B$5</f>
        <v>1.85850497165674</v>
      </c>
      <c r="H84" s="60" t="n">
        <f aca="false">F84*Assumptions!$B$5</f>
        <v>2.41605646315376</v>
      </c>
    </row>
    <row r="85" customFormat="false" ht="15" hidden="false" customHeight="true" outlineLevel="0" collapsed="false">
      <c r="A85" s="26" t="s">
        <v>384</v>
      </c>
      <c r="B85" s="57" t="n">
        <v>0.3</v>
      </c>
      <c r="C85" s="57" t="n">
        <f aca="false">B85*1.3</f>
        <v>0.39</v>
      </c>
      <c r="D85" s="58" t="n">
        <f aca="false">'Product Costs'!H66</f>
        <v>0.0183556046583381</v>
      </c>
      <c r="E85" s="59" t="n">
        <f aca="false">B85*D85</f>
        <v>0.00550668139750144</v>
      </c>
      <c r="F85" s="59" t="n">
        <f aca="false">C85*D85</f>
        <v>0.00715868581675188</v>
      </c>
      <c r="G85" s="60" t="n">
        <f aca="false">E85*Assumptions!$B$5</f>
        <v>0.743401988662695</v>
      </c>
      <c r="H85" s="60" t="n">
        <f aca="false">F85*Assumptions!$B$5</f>
        <v>0.966422585261503</v>
      </c>
    </row>
    <row r="86" customFormat="false" ht="15" hidden="false" customHeight="true" outlineLevel="0" collapsed="false">
      <c r="A86" s="26" t="s">
        <v>395</v>
      </c>
      <c r="B86" s="57" t="n">
        <v>2.1</v>
      </c>
      <c r="C86" s="57" t="n">
        <f aca="false">B86*1.3</f>
        <v>2.73</v>
      </c>
      <c r="D86" s="58" t="n">
        <f aca="false">'Product Costs'!H21</f>
        <v>0.41403619530086</v>
      </c>
      <c r="E86" s="59" t="n">
        <f aca="false">B86*D86</f>
        <v>0.869476010131807</v>
      </c>
      <c r="F86" s="59" t="n">
        <f aca="false">C86*D86</f>
        <v>1.13031881317135</v>
      </c>
      <c r="G86" s="60" t="n">
        <f aca="false">E86*Assumptions!$B$5</f>
        <v>117.379261367794</v>
      </c>
      <c r="H86" s="60" t="n">
        <f aca="false">F86*Assumptions!$B$5</f>
        <v>152.593039778132</v>
      </c>
    </row>
    <row r="87" customFormat="false" ht="15" hidden="false" customHeight="true" outlineLevel="0" collapsed="false">
      <c r="A87" s="26" t="s">
        <v>396</v>
      </c>
      <c r="B87" s="57" t="n">
        <v>1</v>
      </c>
      <c r="C87" s="57" t="n">
        <f aca="false">B87*1.3</f>
        <v>1.3</v>
      </c>
      <c r="D87" s="58" t="n">
        <f aca="false">'Product Costs'!H23</f>
        <v>0.337284235596963</v>
      </c>
      <c r="E87" s="59" t="n">
        <f aca="false">B87*D87</f>
        <v>0.337284235596963</v>
      </c>
      <c r="F87" s="59" t="n">
        <f aca="false">C87*D87</f>
        <v>0.438469506276052</v>
      </c>
      <c r="G87" s="60" t="n">
        <f aca="false">E87*Assumptions!$B$5</f>
        <v>45.5333718055901</v>
      </c>
      <c r="H87" s="60" t="n">
        <f aca="false">F87*Assumptions!$B$5</f>
        <v>59.1933833472671</v>
      </c>
    </row>
    <row r="88" customFormat="false" ht="15" hidden="false" customHeight="true" outlineLevel="0" collapsed="false">
      <c r="A88" s="26" t="s">
        <v>397</v>
      </c>
      <c r="B88" s="57" t="n">
        <v>1</v>
      </c>
      <c r="C88" s="57" t="n">
        <f aca="false">B88*1.3</f>
        <v>1.3</v>
      </c>
      <c r="D88" s="58" t="n">
        <f aca="false">'Product Costs'!H33</f>
        <v>2.25273329897786</v>
      </c>
      <c r="E88" s="59" t="n">
        <f aca="false">B88*D88</f>
        <v>2.25273329897786</v>
      </c>
      <c r="F88" s="59" t="n">
        <f aca="false">C88*D88</f>
        <v>2.92855328867122</v>
      </c>
      <c r="G88" s="60" t="n">
        <f aca="false">E88*Assumptions!$B$5</f>
        <v>304.118995362012</v>
      </c>
      <c r="H88" s="60" t="n">
        <f aca="false">F88*Assumptions!$B$5</f>
        <v>395.354693970615</v>
      </c>
    </row>
    <row r="89" customFormat="false" ht="15" hidden="false" customHeight="true" outlineLevel="0" collapsed="false">
      <c r="A89" s="26" t="s">
        <v>398</v>
      </c>
      <c r="B89" s="57" t="n">
        <v>1</v>
      </c>
      <c r="C89" s="57" t="n">
        <f aca="false">B89*1.3</f>
        <v>1.3</v>
      </c>
      <c r="D89" s="58" t="n">
        <f aca="false">'Product Costs'!H6</f>
        <v>0.165365807732776</v>
      </c>
      <c r="E89" s="59" t="n">
        <f aca="false">B89*D89</f>
        <v>0.165365807732776</v>
      </c>
      <c r="F89" s="59" t="n">
        <f aca="false">C89*D89</f>
        <v>0.214975550052609</v>
      </c>
      <c r="G89" s="60" t="n">
        <f aca="false">E89*Assumptions!$B$5</f>
        <v>22.3243840439248</v>
      </c>
      <c r="H89" s="60" t="n">
        <f aca="false">F89*Assumptions!$B$5</f>
        <v>29.0216992571022</v>
      </c>
    </row>
    <row r="90" customFormat="false" ht="15" hidden="false" customHeight="true" outlineLevel="0" collapsed="false">
      <c r="A90" s="26" t="s">
        <v>399</v>
      </c>
      <c r="B90" s="57" t="n">
        <v>1</v>
      </c>
      <c r="C90" s="57" t="n">
        <f aca="false">B90*1.3</f>
        <v>1.3</v>
      </c>
      <c r="D90" s="58" t="n">
        <f aca="false">'Product Costs'!H71</f>
        <v>0.724563341776506</v>
      </c>
      <c r="E90" s="59" t="n">
        <f aca="false">B90*D90</f>
        <v>0.724563341776506</v>
      </c>
      <c r="F90" s="59" t="n">
        <f aca="false">C90*D90</f>
        <v>0.941932344309457</v>
      </c>
      <c r="G90" s="60" t="n">
        <f aca="false">E90*Assumptions!$B$5</f>
        <v>97.8160511398283</v>
      </c>
      <c r="H90" s="60" t="n">
        <f aca="false">F90*Assumptions!$B$5</f>
        <v>127.160866481777</v>
      </c>
    </row>
    <row r="91" customFormat="false" ht="15" hidden="false" customHeight="true" outlineLevel="0" collapsed="false">
      <c r="A91" s="26" t="s">
        <v>400</v>
      </c>
      <c r="B91" s="57" t="n">
        <v>1</v>
      </c>
      <c r="C91" s="57" t="n">
        <f aca="false">B91*1.3</f>
        <v>1.3</v>
      </c>
      <c r="D91" s="58" t="n">
        <f aca="false">'Product Costs'!H32</f>
        <v>0.349304417005689</v>
      </c>
      <c r="E91" s="59" t="n">
        <f aca="false">B91*D91</f>
        <v>0.349304417005689</v>
      </c>
      <c r="F91" s="59" t="n">
        <f aca="false">C91*D91</f>
        <v>0.454095742107395</v>
      </c>
      <c r="G91" s="60" t="n">
        <f aca="false">E91*Assumptions!$B$5</f>
        <v>47.156096295768</v>
      </c>
      <c r="H91" s="60" t="n">
        <f aca="false">F91*Assumptions!$B$5</f>
        <v>61.3029251844983</v>
      </c>
    </row>
    <row r="92" customFormat="false" ht="15" hidden="false" customHeight="true" outlineLevel="0" collapsed="false">
      <c r="A92" s="26" t="s">
        <v>415</v>
      </c>
      <c r="B92" s="57" t="n">
        <v>1</v>
      </c>
      <c r="C92" s="57" t="n">
        <f aca="false">B92*1.3</f>
        <v>1.3</v>
      </c>
      <c r="D92" s="58" t="n">
        <f aca="false">'Product Costs'!H31</f>
        <v>1.32160353540035</v>
      </c>
      <c r="E92" s="59" t="n">
        <f aca="false">B92*D92</f>
        <v>1.32160353540035</v>
      </c>
      <c r="F92" s="59" t="n">
        <f aca="false">C92*D92</f>
        <v>1.71808459602045</v>
      </c>
      <c r="G92" s="60" t="n">
        <f aca="false">E92*Assumptions!$B$5</f>
        <v>178.416477279047</v>
      </c>
      <c r="H92" s="60" t="n">
        <f aca="false">F92*Assumptions!$B$5</f>
        <v>231.941420462761</v>
      </c>
    </row>
    <row r="93" customFormat="false" ht="15" hidden="false" customHeight="true" outlineLevel="0" collapsed="false">
      <c r="A93" s="26" t="s">
        <v>401</v>
      </c>
      <c r="B93" s="57" t="n">
        <v>1</v>
      </c>
      <c r="C93" s="57" t="n">
        <f aca="false">B93*1.3</f>
        <v>1.3</v>
      </c>
      <c r="D93" s="58" t="n">
        <f aca="false">'Product Costs'!H11</f>
        <v>0.159693760527542</v>
      </c>
      <c r="E93" s="59" t="n">
        <f aca="false">B93*D93</f>
        <v>0.159693760527542</v>
      </c>
      <c r="F93" s="59" t="n">
        <f aca="false">C93*D93</f>
        <v>0.207601888685804</v>
      </c>
      <c r="G93" s="60" t="n">
        <f aca="false">E93*Assumptions!$B$5</f>
        <v>21.5586576712181</v>
      </c>
      <c r="H93" s="60" t="n">
        <f aca="false">F93*Assumptions!$B$5</f>
        <v>28.0262549725836</v>
      </c>
    </row>
    <row r="94" customFormat="false" ht="15" hidden="false" customHeight="true" outlineLevel="0" collapsed="false">
      <c r="A94" s="26" t="s">
        <v>402</v>
      </c>
      <c r="B94" s="57" t="n">
        <v>0.2</v>
      </c>
      <c r="C94" s="57" t="n">
        <f aca="false">B94*1.3</f>
        <v>0.26</v>
      </c>
      <c r="D94" s="58" t="n">
        <f aca="false">'Product Costs'!H53</f>
        <v>0.137667034937536</v>
      </c>
      <c r="E94" s="59" t="n">
        <f aca="false">B94*D94</f>
        <v>0.0275334069875072</v>
      </c>
      <c r="F94" s="59" t="n">
        <f aca="false">C94*D94</f>
        <v>0.0357934290837594</v>
      </c>
      <c r="G94" s="60" t="n">
        <f aca="false">E94*Assumptions!$B$5</f>
        <v>3.71700994331347</v>
      </c>
      <c r="H94" s="60" t="n">
        <f aca="false">F94*Assumptions!$B$5</f>
        <v>4.83211292630752</v>
      </c>
    </row>
    <row r="95" customFormat="false" ht="15" hidden="false" customHeight="true" outlineLevel="0" collapsed="false">
      <c r="A95" s="26" t="s">
        <v>403</v>
      </c>
      <c r="B95" s="57" t="n">
        <v>1.5</v>
      </c>
      <c r="C95" s="57" t="n">
        <f aca="false">B95*1.3</f>
        <v>1.95</v>
      </c>
      <c r="D95" s="58" t="n">
        <f aca="false">'Product Costs'!H57</f>
        <v>0.0504779128104299</v>
      </c>
      <c r="E95" s="59" t="n">
        <f aca="false">B95*D95</f>
        <v>0.0757168692156448</v>
      </c>
      <c r="F95" s="59" t="n">
        <f aca="false">C95*D95</f>
        <v>0.0984319299803383</v>
      </c>
      <c r="G95" s="60" t="n">
        <f aca="false">E95*Assumptions!$B$5</f>
        <v>10.2217773441121</v>
      </c>
      <c r="H95" s="60" t="n">
        <f aca="false">F95*Assumptions!$B$5</f>
        <v>13.2883105473457</v>
      </c>
    </row>
    <row r="96" customFormat="false" ht="15" hidden="false" customHeight="true" outlineLevel="0" collapsed="false">
      <c r="A96" s="26" t="s">
        <v>404</v>
      </c>
      <c r="B96" s="57" t="n">
        <v>1.5</v>
      </c>
      <c r="C96" s="57" t="n">
        <f aca="false">B96*1.3</f>
        <v>1.95</v>
      </c>
      <c r="D96" s="58" t="n">
        <f aca="false">'Product Costs'!H58</f>
        <v>0.0183556046583381</v>
      </c>
      <c r="E96" s="59" t="n">
        <f aca="false">B96*D96</f>
        <v>0.0275334069875072</v>
      </c>
      <c r="F96" s="59" t="n">
        <f aca="false">C96*D96</f>
        <v>0.0357934290837594</v>
      </c>
      <c r="G96" s="60" t="n">
        <f aca="false">E96*Assumptions!$B$5</f>
        <v>3.71700994331347</v>
      </c>
      <c r="H96" s="60" t="n">
        <f aca="false">F96*Assumptions!$B$5</f>
        <v>4.83211292630752</v>
      </c>
    </row>
    <row r="97" customFormat="false" ht="15" hidden="false" customHeight="true" outlineLevel="0" collapsed="false">
      <c r="A97" s="26" t="s">
        <v>405</v>
      </c>
      <c r="B97" s="57" t="n">
        <v>1.3</v>
      </c>
      <c r="C97" s="57" t="n">
        <f aca="false">B97*1.3</f>
        <v>1.69</v>
      </c>
      <c r="D97" s="58" t="n">
        <f aca="false">'Product Costs'!H55</f>
        <v>0.0642446163041835</v>
      </c>
      <c r="E97" s="59" t="n">
        <f aca="false">B97*D97</f>
        <v>0.0835180011954385</v>
      </c>
      <c r="F97" s="59" t="n">
        <f aca="false">C97*D97</f>
        <v>0.10857340155407</v>
      </c>
      <c r="G97" s="60" t="n">
        <f aca="false">E97*Assumptions!$B$5</f>
        <v>11.2749301613842</v>
      </c>
      <c r="H97" s="60" t="n">
        <f aca="false">F97*Assumptions!$B$5</f>
        <v>14.6574092097995</v>
      </c>
    </row>
    <row r="98" customFormat="false" ht="15" hidden="false" customHeight="true" outlineLevel="0" collapsed="false">
      <c r="A98" s="26" t="s">
        <v>406</v>
      </c>
      <c r="B98" s="57" t="n">
        <v>1</v>
      </c>
      <c r="C98" s="57" t="n">
        <f aca="false">B98*1.3</f>
        <v>1.3</v>
      </c>
      <c r="D98" s="58" t="n">
        <f aca="false">'Product Costs'!H54</f>
        <v>0.0573612645573067</v>
      </c>
      <c r="E98" s="59" t="n">
        <f aca="false">B98*D98</f>
        <v>0.0573612645573067</v>
      </c>
      <c r="F98" s="59" t="n">
        <f aca="false">C98*D98</f>
        <v>0.0745696439244987</v>
      </c>
      <c r="G98" s="60" t="n">
        <f aca="false">E98*Assumptions!$B$5</f>
        <v>7.7437707152364</v>
      </c>
      <c r="H98" s="60" t="n">
        <f aca="false">F98*Assumptions!$B$5</f>
        <v>10.0669019298073</v>
      </c>
    </row>
    <row r="99" customFormat="false" ht="15" hidden="false" customHeight="true" outlineLevel="0" collapsed="false">
      <c r="A99" s="26" t="s">
        <v>407</v>
      </c>
      <c r="B99" s="57" t="n">
        <v>1</v>
      </c>
      <c r="C99" s="57" t="n">
        <f aca="false">B99*1.3</f>
        <v>1.3</v>
      </c>
      <c r="D99" s="58" t="n">
        <f aca="false">'Product Costs'!H59</f>
        <v>0.0103250276203152</v>
      </c>
      <c r="E99" s="59" t="n">
        <f aca="false">B99*D99</f>
        <v>0.0103250276203152</v>
      </c>
      <c r="F99" s="59" t="n">
        <f aca="false">C99*D99</f>
        <v>0.0134225359064098</v>
      </c>
      <c r="G99" s="60" t="n">
        <f aca="false">E99*Assumptions!$B$5</f>
        <v>1.39387872874255</v>
      </c>
      <c r="H99" s="60" t="n">
        <f aca="false">F99*Assumptions!$B$5</f>
        <v>1.81204234736532</v>
      </c>
    </row>
    <row r="100" customFormat="false" ht="15" hidden="false" customHeight="true" outlineLevel="0" collapsed="false">
      <c r="A100" s="26" t="s">
        <v>408</v>
      </c>
      <c r="B100" s="57" t="n">
        <v>1</v>
      </c>
      <c r="C100" s="57" t="n">
        <f aca="false">B100*1.3</f>
        <v>1.3</v>
      </c>
      <c r="D100" s="58" t="n">
        <f aca="false">'Product Costs'!H60</f>
        <v>0.0160611540760459</v>
      </c>
      <c r="E100" s="59" t="n">
        <f aca="false">B100*D100</f>
        <v>0.0160611540760459</v>
      </c>
      <c r="F100" s="59" t="n">
        <f aca="false">C100*D100</f>
        <v>0.0208795002988596</v>
      </c>
      <c r="G100" s="60" t="n">
        <f aca="false">E100*Assumptions!$B$5</f>
        <v>2.16825580026619</v>
      </c>
      <c r="H100" s="60" t="n">
        <f aca="false">F100*Assumptions!$B$5</f>
        <v>2.81873254034605</v>
      </c>
    </row>
    <row r="101" customFormat="false" ht="15" hidden="false" customHeight="true" outlineLevel="0" collapsed="false">
      <c r="A101" s="26" t="s">
        <v>409</v>
      </c>
      <c r="B101" s="57" t="n">
        <v>0.3</v>
      </c>
      <c r="C101" s="57" t="n">
        <f aca="false">B101*1.3</f>
        <v>0.39</v>
      </c>
      <c r="D101" s="58" t="n">
        <f aca="false">'Product Costs'!H67</f>
        <v>0.0321223081520917</v>
      </c>
      <c r="E101" s="59" t="n">
        <f aca="false">B101*D101</f>
        <v>0.00963669244562752</v>
      </c>
      <c r="F101" s="59" t="n">
        <f aca="false">C101*D101</f>
        <v>0.0125277001793158</v>
      </c>
      <c r="G101" s="60" t="n">
        <f aca="false">E101*Assumptions!$B$5</f>
        <v>1.30095348015972</v>
      </c>
      <c r="H101" s="60" t="n">
        <f aca="false">F101*Assumptions!$B$5</f>
        <v>1.69123952420763</v>
      </c>
    </row>
    <row r="102" customFormat="false" ht="15" hidden="false" customHeight="true" outlineLevel="0" collapsed="false">
      <c r="A102" s="26" t="s">
        <v>416</v>
      </c>
      <c r="B102" s="57" t="n">
        <v>1</v>
      </c>
      <c r="C102" s="57" t="n">
        <f aca="false">B102*1.3</f>
        <v>1.3</v>
      </c>
      <c r="D102" s="58" t="n">
        <f aca="false">'Product Costs'!H38</f>
        <v>0.90466908673238</v>
      </c>
      <c r="E102" s="59" t="n">
        <f aca="false">B102*D102</f>
        <v>0.90466908673238</v>
      </c>
      <c r="F102" s="59" t="n">
        <f aca="false">C102*D102</f>
        <v>1.17606981275209</v>
      </c>
      <c r="G102" s="60" t="n">
        <f aca="false">E102*Assumptions!$B$5</f>
        <v>122.130326708871</v>
      </c>
      <c r="H102" s="60" t="n">
        <f aca="false">F102*Assumptions!$B$5</f>
        <v>158.769424721533</v>
      </c>
    </row>
    <row r="103" customFormat="false" ht="15" hidden="false" customHeight="true" outlineLevel="0" collapsed="false">
      <c r="A103" s="26" t="s">
        <v>417</v>
      </c>
      <c r="B103" s="57" t="n">
        <v>1</v>
      </c>
      <c r="C103" s="57" t="n">
        <f aca="false">B103*1.3</f>
        <v>1.3</v>
      </c>
      <c r="D103" s="58" t="n">
        <f aca="false">'Product Costs'!H39</f>
        <v>0.90466908673238</v>
      </c>
      <c r="E103" s="59" t="n">
        <f aca="false">B103*D103</f>
        <v>0.90466908673238</v>
      </c>
      <c r="F103" s="59" t="n">
        <f aca="false">C103*D103</f>
        <v>1.17606981275209</v>
      </c>
      <c r="G103" s="60" t="n">
        <f aca="false">E103*Assumptions!$B$5</f>
        <v>122.130326708871</v>
      </c>
      <c r="H103" s="60" t="n">
        <f aca="false">F103*Assumptions!$B$5</f>
        <v>158.769424721533</v>
      </c>
    </row>
    <row r="104" customFormat="false" ht="15" hidden="false" customHeight="true" outlineLevel="0" collapsed="false">
      <c r="A104" s="26" t="s">
        <v>418</v>
      </c>
      <c r="B104" s="57" t="n">
        <v>1</v>
      </c>
      <c r="C104" s="57" t="n">
        <f aca="false">B104*1.3</f>
        <v>1.3</v>
      </c>
      <c r="D104" s="58" t="n">
        <f aca="false">'Product Costs'!H40</f>
        <v>0.90466908673238</v>
      </c>
      <c r="E104" s="59" t="n">
        <f aca="false">B104*D104</f>
        <v>0.90466908673238</v>
      </c>
      <c r="F104" s="59" t="n">
        <f aca="false">C104*D104</f>
        <v>1.17606981275209</v>
      </c>
      <c r="G104" s="60" t="n">
        <f aca="false">E104*Assumptions!$B$5</f>
        <v>122.130326708871</v>
      </c>
      <c r="H104" s="60" t="n">
        <f aca="false">F104*Assumptions!$B$5</f>
        <v>158.769424721533</v>
      </c>
    </row>
    <row r="105" customFormat="false" ht="15" hidden="false" customHeight="true" outlineLevel="0" collapsed="false">
      <c r="A105" s="26" t="s">
        <v>410</v>
      </c>
      <c r="B105" s="57" t="n">
        <v>0.5</v>
      </c>
      <c r="C105" s="57" t="n">
        <f aca="false">B105*1.3</f>
        <v>0.65</v>
      </c>
      <c r="D105" s="58" t="n">
        <f aca="false">'Product Costs'!H12</f>
        <v>0.137667034937536</v>
      </c>
      <c r="E105" s="59" t="n">
        <f aca="false">B105*D105</f>
        <v>0.068833517468768</v>
      </c>
      <c r="F105" s="59" t="n">
        <f aca="false">C105*D105</f>
        <v>0.0894835727093985</v>
      </c>
      <c r="G105" s="60" t="n">
        <f aca="false">E105*Assumptions!$B$5</f>
        <v>9.29252485828368</v>
      </c>
      <c r="H105" s="60" t="n">
        <f aca="false">F105*Assumptions!$B$5</f>
        <v>12.0802823157688</v>
      </c>
    </row>
    <row r="106" customFormat="false" ht="15" hidden="false" customHeight="true" outlineLevel="0" collapsed="false">
      <c r="A106" s="26" t="s">
        <v>419</v>
      </c>
      <c r="B106" s="57" t="n">
        <v>1</v>
      </c>
      <c r="C106" s="57" t="n">
        <f aca="false">B106*1.3</f>
        <v>1.3</v>
      </c>
      <c r="D106" s="58" t="n">
        <f aca="false">'Product Costs'!H41</f>
        <v>0.144369924279064</v>
      </c>
      <c r="E106" s="59" t="n">
        <f aca="false">B106*D106</f>
        <v>0.144369924279064</v>
      </c>
      <c r="F106" s="59" t="n">
        <f aca="false">C106*D106</f>
        <v>0.187680901562783</v>
      </c>
      <c r="G106" s="60" t="n">
        <f aca="false">E106*Assumptions!$B$5</f>
        <v>19.4899397776736</v>
      </c>
      <c r="H106" s="60" t="n">
        <f aca="false">F106*Assumptions!$B$5</f>
        <v>25.3369217109757</v>
      </c>
    </row>
    <row r="107" customFormat="false" ht="15" hidden="false" customHeight="true" outlineLevel="0" collapsed="false">
      <c r="A107" s="26" t="s">
        <v>420</v>
      </c>
      <c r="B107" s="57" t="n">
        <v>1</v>
      </c>
      <c r="C107" s="57" t="n">
        <f aca="false">B107*1.3</f>
        <v>1.3</v>
      </c>
      <c r="D107" s="58" t="n">
        <f aca="false">'Product Costs'!H68</f>
        <v>0.385467697825101</v>
      </c>
      <c r="E107" s="59" t="n">
        <f aca="false">B107*D107</f>
        <v>0.385467697825101</v>
      </c>
      <c r="F107" s="59" t="n">
        <f aca="false">C107*D107</f>
        <v>0.501108007172631</v>
      </c>
      <c r="G107" s="60" t="n">
        <f aca="false">E107*Assumptions!$B$5</f>
        <v>52.0381392063886</v>
      </c>
      <c r="H107" s="60" t="n">
        <f aca="false">F107*Assumptions!$B$5</f>
        <v>67.6495809683052</v>
      </c>
    </row>
    <row r="108" customFormat="false" ht="15" hidden="false" customHeight="true" outlineLevel="0" collapsed="false">
      <c r="A108" s="26" t="s">
        <v>421</v>
      </c>
      <c r="B108" s="57" t="n">
        <v>1</v>
      </c>
      <c r="C108" s="57" t="n">
        <f aca="false">B108*1.3</f>
        <v>1.3</v>
      </c>
      <c r="D108" s="58" t="n">
        <f aca="false">'Product Costs'!H7</f>
        <v>0.491667981919772</v>
      </c>
      <c r="E108" s="59" t="n">
        <f aca="false">B108*D108</f>
        <v>0.491667981919772</v>
      </c>
      <c r="F108" s="59" t="n">
        <f aca="false">C108*D108</f>
        <v>0.639168376495703</v>
      </c>
      <c r="G108" s="60" t="n">
        <f aca="false">E108*Assumptions!$B$5</f>
        <v>66.3751775591692</v>
      </c>
      <c r="H108" s="60" t="n">
        <f aca="false">F108*Assumptions!$B$5</f>
        <v>86.2877308269199</v>
      </c>
    </row>
    <row r="109" customFormat="false" ht="15" hidden="false" customHeight="true" outlineLevel="0" collapsed="false">
      <c r="A109" s="26" t="s">
        <v>422</v>
      </c>
      <c r="B109" s="57" t="n">
        <v>1</v>
      </c>
      <c r="C109" s="57" t="n">
        <f aca="false">B109*1.3</f>
        <v>1.3</v>
      </c>
      <c r="D109" s="58" t="n">
        <f aca="false">'Product Costs'!H8</f>
        <v>0.491667981919772</v>
      </c>
      <c r="E109" s="59" t="n">
        <f aca="false">B109*D109</f>
        <v>0.491667981919772</v>
      </c>
      <c r="F109" s="59" t="n">
        <f aca="false">C109*D109</f>
        <v>0.639168376495703</v>
      </c>
      <c r="G109" s="60" t="n">
        <f aca="false">E109*Assumptions!$B$5</f>
        <v>66.3751775591692</v>
      </c>
      <c r="H109" s="60" t="n">
        <f aca="false">F109*Assumptions!$B$5</f>
        <v>86.2877308269199</v>
      </c>
    </row>
    <row r="110" customFormat="false" ht="15" hidden="false" customHeight="true" outlineLevel="0" collapsed="false">
      <c r="A110" s="26" t="s">
        <v>423</v>
      </c>
      <c r="B110" s="57" t="n">
        <v>1</v>
      </c>
      <c r="C110" s="57" t="n">
        <f aca="false">B110*1.3</f>
        <v>1.3</v>
      </c>
      <c r="D110" s="58" t="n">
        <f aca="false">'Product Costs'!H25</f>
        <v>0.535829776702985</v>
      </c>
      <c r="E110" s="59" t="n">
        <f aca="false">B110*D110</f>
        <v>0.535829776702985</v>
      </c>
      <c r="F110" s="59" t="n">
        <f aca="false">C110*D110</f>
        <v>0.69657870971388</v>
      </c>
      <c r="G110" s="60" t="n">
        <f aca="false">E110*Assumptions!$B$5</f>
        <v>72.3370198549029</v>
      </c>
      <c r="H110" s="60" t="n">
        <f aca="false">F110*Assumptions!$B$5</f>
        <v>94.0381258113738</v>
      </c>
    </row>
    <row r="111" customFormat="false" ht="15" hidden="false" customHeight="true" outlineLevel="0" collapsed="false">
      <c r="A111" s="26" t="s">
        <v>424</v>
      </c>
      <c r="B111" s="57" t="n">
        <v>1</v>
      </c>
      <c r="C111" s="57" t="n">
        <f aca="false">B111*1.3</f>
        <v>1.3</v>
      </c>
      <c r="D111" s="58" t="n">
        <f aca="false">'Product Costs'!H35</f>
        <v>9.63669244562752</v>
      </c>
      <c r="E111" s="59" t="n">
        <f aca="false">B111*D111</f>
        <v>9.63669244562752</v>
      </c>
      <c r="F111" s="59" t="n">
        <f aca="false">C111*D111</f>
        <v>12.5277001793158</v>
      </c>
      <c r="G111" s="60" t="n">
        <f aca="false">E111*Assumptions!$B$5</f>
        <v>1300.95348015972</v>
      </c>
      <c r="H111" s="60" t="n">
        <f aca="false">F111*Assumptions!$B$5</f>
        <v>1691.23952420763</v>
      </c>
    </row>
    <row r="112" customFormat="false" ht="15" hidden="false" customHeight="true" outlineLevel="0" collapsed="false">
      <c r="A112" s="26" t="s">
        <v>425</v>
      </c>
      <c r="B112" s="57" t="n">
        <v>0.1</v>
      </c>
      <c r="C112" s="57" t="n">
        <f aca="false">B112*1.3</f>
        <v>0.13</v>
      </c>
      <c r="D112" s="58" t="n">
        <f aca="false">'Product Costs'!H70</f>
        <v>1.5418707913004</v>
      </c>
      <c r="E112" s="59" t="n">
        <f aca="false">B112*D112</f>
        <v>0.15418707913004</v>
      </c>
      <c r="F112" s="59" t="n">
        <f aca="false">C112*D112</f>
        <v>0.200443202869053</v>
      </c>
      <c r="G112" s="60" t="n">
        <f aca="false">E112*Assumptions!$B$5</f>
        <v>20.8152556825555</v>
      </c>
      <c r="H112" s="60" t="n">
        <f aca="false">F112*Assumptions!$B$5</f>
        <v>27.0598323873221</v>
      </c>
    </row>
    <row r="113" customFormat="false" ht="15" hidden="false" customHeight="true" outlineLevel="0" collapsed="false">
      <c r="A113" s="26" t="s">
        <v>426</v>
      </c>
      <c r="B113" s="57" t="n">
        <v>1</v>
      </c>
      <c r="C113" s="57" t="n">
        <f aca="false">B113*1.3</f>
        <v>1.3</v>
      </c>
      <c r="D113" s="58" t="n">
        <f aca="false">'Product Costs'!H37</f>
        <v>0.539654776955141</v>
      </c>
      <c r="E113" s="59" t="n">
        <f aca="false">B113*D113</f>
        <v>0.539654776955141</v>
      </c>
      <c r="F113" s="59" t="n">
        <f aca="false">C113*D113</f>
        <v>0.701551210041684</v>
      </c>
      <c r="G113" s="60" t="n">
        <f aca="false">E113*Assumptions!$B$5</f>
        <v>72.8533948889441</v>
      </c>
      <c r="H113" s="60" t="n">
        <f aca="false">F113*Assumptions!$B$5</f>
        <v>94.7094133556273</v>
      </c>
    </row>
    <row r="114" customFormat="false" ht="15" hidden="false" customHeight="true" outlineLevel="0" collapsed="false">
      <c r="A114" s="26" t="s">
        <v>427</v>
      </c>
      <c r="B114" s="57" t="n">
        <v>1</v>
      </c>
      <c r="C114" s="57" t="n">
        <f aca="false">B114*1.3</f>
        <v>1.3</v>
      </c>
      <c r="D114" s="58" t="n">
        <f aca="false">'Product Costs'!H30</f>
        <v>0.289825336710602</v>
      </c>
      <c r="E114" s="59" t="n">
        <f aca="false">B114*D114</f>
        <v>0.289825336710602</v>
      </c>
      <c r="F114" s="59" t="n">
        <f aca="false">C114*D114</f>
        <v>0.376772937723783</v>
      </c>
      <c r="G114" s="60" t="n">
        <f aca="false">E114*Assumptions!$B$5</f>
        <v>39.1264204559313</v>
      </c>
      <c r="H114" s="60" t="n">
        <f aca="false">F114*Assumptions!$B$5</f>
        <v>50.8643465927107</v>
      </c>
    </row>
    <row r="115" customFormat="false" ht="15" hidden="false" customHeight="true" outlineLevel="0" collapsed="false">
      <c r="A115" s="26" t="s">
        <v>411</v>
      </c>
      <c r="B115" s="57" t="n">
        <v>1.4</v>
      </c>
      <c r="C115" s="57" t="n">
        <f aca="false">B115*1.3</f>
        <v>1.82</v>
      </c>
      <c r="D115" s="58" t="n">
        <f aca="false">'Product Costs'!H42</f>
        <v>0.124024355799582</v>
      </c>
      <c r="E115" s="59" t="n">
        <f aca="false">B115*D115</f>
        <v>0.173634098119415</v>
      </c>
      <c r="F115" s="59" t="n">
        <f aca="false">C115*D115</f>
        <v>0.225724327555239</v>
      </c>
      <c r="G115" s="60" t="n">
        <f aca="false">E115*Assumptions!$B$5</f>
        <v>23.440603246121</v>
      </c>
      <c r="H115" s="60" t="n">
        <f aca="false">F115*Assumptions!$B$5</f>
        <v>30.4727842199573</v>
      </c>
    </row>
    <row r="116" customFormat="false" ht="15" hidden="false" customHeight="true" outlineLevel="0" collapsed="false">
      <c r="A116" s="26" t="s">
        <v>428</v>
      </c>
      <c r="B116" s="57" t="n">
        <v>1</v>
      </c>
      <c r="C116" s="57" t="n">
        <f aca="false">B116*1.3</f>
        <v>1.3</v>
      </c>
      <c r="D116" s="58" t="n">
        <f aca="false">'Product Costs'!H44</f>
        <v>0.371700994331347</v>
      </c>
      <c r="E116" s="59" t="n">
        <f aca="false">B116*D116</f>
        <v>0.371700994331347</v>
      </c>
      <c r="F116" s="59" t="n">
        <f aca="false">C116*D116</f>
        <v>0.483211292630752</v>
      </c>
      <c r="G116" s="60" t="n">
        <f aca="false">E116*Assumptions!$B$5</f>
        <v>50.1796342347319</v>
      </c>
      <c r="H116" s="60" t="n">
        <f aca="false">F116*Assumptions!$B$5</f>
        <v>65.2335245051515</v>
      </c>
    </row>
    <row r="117" customFormat="false" ht="15" hidden="false" customHeight="true" outlineLevel="0" collapsed="false">
      <c r="A117" s="26" t="s">
        <v>429</v>
      </c>
      <c r="B117" s="57" t="n">
        <v>1</v>
      </c>
      <c r="C117" s="57" t="n">
        <f aca="false">B117*1.3</f>
        <v>1.3</v>
      </c>
      <c r="D117" s="58" t="n">
        <f aca="false">'Product Costs'!H45</f>
        <v>0.247800662887565</v>
      </c>
      <c r="E117" s="59" t="n">
        <f aca="false">B117*D117</f>
        <v>0.247800662887565</v>
      </c>
      <c r="F117" s="59" t="n">
        <f aca="false">C117*D117</f>
        <v>0.322140861753834</v>
      </c>
      <c r="G117" s="60" t="n">
        <f aca="false">E117*Assumptions!$B$5</f>
        <v>33.4530894898213</v>
      </c>
      <c r="H117" s="60" t="n">
        <f aca="false">F117*Assumptions!$B$5</f>
        <v>43.4890163367677</v>
      </c>
    </row>
    <row r="118" customFormat="false" ht="15" hidden="false" customHeight="true" outlineLevel="0" collapsed="false">
      <c r="A118" s="26" t="s">
        <v>430</v>
      </c>
      <c r="B118" s="57" t="n">
        <v>1</v>
      </c>
      <c r="C118" s="57" t="n">
        <f aca="false">B118*1.3</f>
        <v>1.3</v>
      </c>
      <c r="D118" s="58" t="n">
        <f aca="false">'Product Costs'!H46</f>
        <v>0.105659449314559</v>
      </c>
      <c r="E118" s="59" t="n">
        <f aca="false">B118*D118</f>
        <v>0.105659449314559</v>
      </c>
      <c r="F118" s="59" t="n">
        <f aca="false">C118*D118</f>
        <v>0.137357284108927</v>
      </c>
      <c r="G118" s="60" t="n">
        <f aca="false">E118*Assumptions!$B$5</f>
        <v>14.2640256574655</v>
      </c>
      <c r="H118" s="60" t="n">
        <f aca="false">F118*Assumptions!$B$5</f>
        <v>18.5432333547051</v>
      </c>
    </row>
    <row r="119" customFormat="false" ht="15" hidden="false" customHeight="true" outlineLevel="0" collapsed="false">
      <c r="A119" s="26" t="s">
        <v>431</v>
      </c>
      <c r="B119" s="57" t="n">
        <v>1</v>
      </c>
      <c r="C119" s="57" t="n">
        <f aca="false">B119*1.3</f>
        <v>1.3</v>
      </c>
      <c r="D119" s="58" t="n">
        <f aca="false">'Product Costs'!H43</f>
        <v>0.289100773368826</v>
      </c>
      <c r="E119" s="59" t="n">
        <f aca="false">B119*D119</f>
        <v>0.289100773368826</v>
      </c>
      <c r="F119" s="59" t="n">
        <f aca="false">C119*D119</f>
        <v>0.375831005379473</v>
      </c>
      <c r="G119" s="60" t="n">
        <f aca="false">E119*Assumptions!$B$5</f>
        <v>39.0286044047915</v>
      </c>
      <c r="H119" s="60" t="n">
        <f aca="false">F119*Assumptions!$B$5</f>
        <v>50.7371857262289</v>
      </c>
    </row>
    <row r="120" customFormat="false" ht="15" hidden="false" customHeight="true" outlineLevel="0" collapsed="false">
      <c r="A120" s="26" t="s">
        <v>432</v>
      </c>
      <c r="B120" s="57" t="n">
        <v>1</v>
      </c>
      <c r="C120" s="57" t="n">
        <f aca="false">B120*1.3</f>
        <v>1.3</v>
      </c>
      <c r="D120" s="58" t="n">
        <f aca="false">'Product Costs'!H69</f>
        <v>0.0454301215293869</v>
      </c>
      <c r="E120" s="59" t="n">
        <f aca="false">B120*D120</f>
        <v>0.0454301215293869</v>
      </c>
      <c r="F120" s="59" t="n">
        <f aca="false">C120*D120</f>
        <v>0.059059157988203</v>
      </c>
      <c r="G120" s="60" t="n">
        <f aca="false">E120*Assumptions!$B$5</f>
        <v>6.13306640646723</v>
      </c>
      <c r="H120" s="60" t="n">
        <f aca="false">F120*Assumptions!$B$5</f>
        <v>7.9729863284074</v>
      </c>
    </row>
    <row r="121" customFormat="false" ht="15" hidden="false" customHeight="true" outlineLevel="0" collapsed="false">
      <c r="A121" s="26" t="s">
        <v>433</v>
      </c>
      <c r="B121" s="57" t="n">
        <v>1</v>
      </c>
      <c r="C121" s="57" t="n">
        <f aca="false">B121*1.3</f>
        <v>1.3</v>
      </c>
      <c r="D121" s="58" t="n">
        <f aca="false">'Product Costs'!H56</f>
        <v>0.0642446163041835</v>
      </c>
      <c r="E121" s="59" t="n">
        <f aca="false">B121*D121</f>
        <v>0.0642446163041835</v>
      </c>
      <c r="F121" s="59" t="n">
        <f aca="false">C121*D121</f>
        <v>0.0835180011954385</v>
      </c>
      <c r="G121" s="60" t="n">
        <f aca="false">E121*Assumptions!$B$5</f>
        <v>8.67302320106477</v>
      </c>
      <c r="H121" s="60" t="n">
        <f aca="false">F121*Assumptions!$B$5</f>
        <v>11.2749301613842</v>
      </c>
    </row>
    <row r="122" customFormat="false" ht="15" hidden="false" customHeight="true" outlineLevel="0" collapsed="false">
      <c r="A122" s="26" t="s">
        <v>434</v>
      </c>
      <c r="B122" s="57" t="n">
        <v>0.4</v>
      </c>
      <c r="C122" s="57" t="n">
        <f aca="false">B122*1.3</f>
        <v>0.52</v>
      </c>
      <c r="D122" s="58" t="n">
        <f aca="false">'Product Costs'!H51</f>
        <v>0.0275334069875072</v>
      </c>
      <c r="E122" s="59" t="n">
        <f aca="false">B122*D122</f>
        <v>0.0110133627950029</v>
      </c>
      <c r="F122" s="59" t="n">
        <f aca="false">C122*D122</f>
        <v>0.0143173716335038</v>
      </c>
      <c r="G122" s="60" t="n">
        <f aca="false">E122*Assumptions!$B$5</f>
        <v>1.48680397732539</v>
      </c>
      <c r="H122" s="60" t="n">
        <f aca="false">F122*Assumptions!$B$5</f>
        <v>1.93284517052301</v>
      </c>
    </row>
    <row r="123" customFormat="false" ht="15" hidden="false" customHeight="true" outlineLevel="0" collapsed="false">
      <c r="A123" s="26" t="s">
        <v>435</v>
      </c>
      <c r="B123" s="57" t="n">
        <v>1</v>
      </c>
      <c r="C123" s="57" t="n">
        <f aca="false">B123*1.3</f>
        <v>1.3</v>
      </c>
      <c r="D123" s="58" t="n">
        <f aca="false">'Product Costs'!H13</f>
        <v>0.475426697231731</v>
      </c>
      <c r="E123" s="59" t="n">
        <f aca="false">B123*D123</f>
        <v>0.475426697231731</v>
      </c>
      <c r="F123" s="59" t="n">
        <f aca="false">C123*D123</f>
        <v>0.618054706401251</v>
      </c>
      <c r="G123" s="60" t="n">
        <f aca="false">E123*Assumptions!$B$5</f>
        <v>64.1826041262837</v>
      </c>
      <c r="H123" s="60" t="n">
        <f aca="false">F123*Assumptions!$B$5</f>
        <v>83.4373853641688</v>
      </c>
    </row>
    <row r="124" customFormat="false" ht="15" hidden="false" customHeight="true" outlineLevel="0" collapsed="false">
      <c r="A124" s="61" t="s">
        <v>386</v>
      </c>
      <c r="B124" s="62"/>
      <c r="C124" s="62"/>
      <c r="D124" s="62"/>
      <c r="E124" s="63" t="n">
        <f aca="false">SUM(E74:E123)</f>
        <v>27.135765531175</v>
      </c>
      <c r="F124" s="63" t="n">
        <f aca="false">SUM(F74:F123)</f>
        <v>35.2764951905275</v>
      </c>
      <c r="G124" s="64" t="n">
        <f aca="false">E124*Assumptions!$B$5</f>
        <v>3663.32834670863</v>
      </c>
      <c r="H124" s="64" t="n">
        <f aca="false">F124*Assumptions!$B$5</f>
        <v>4762.32685072122</v>
      </c>
    </row>
    <row r="125" customFormat="false" ht="15" hidden="false" customHeight="true" outlineLevel="0" collapsed="false">
      <c r="A125" s="26" t="s">
        <v>436</v>
      </c>
      <c r="E125" s="65" t="n">
        <f aca="false">E124*0.25</f>
        <v>6.78394138279375</v>
      </c>
      <c r="F125" s="65" t="n">
        <f aca="false">F124*0.25</f>
        <v>8.81912379763188</v>
      </c>
      <c r="G125" s="28" t="n">
        <f aca="false">E125*Assumptions!$B$5</f>
        <v>915.832086677157</v>
      </c>
      <c r="H125" s="28" t="n">
        <f aca="false">F125*Assumptions!$B$5</f>
        <v>1190.5817126803</v>
      </c>
    </row>
    <row r="126" customFormat="false" ht="15" hidden="false" customHeight="true" outlineLevel="0" collapsed="false">
      <c r="A126" s="61" t="s">
        <v>388</v>
      </c>
      <c r="B126" s="62"/>
      <c r="C126" s="62"/>
      <c r="D126" s="62"/>
      <c r="E126" s="63" t="n">
        <f aca="false">E124+E125</f>
        <v>33.9197069139688</v>
      </c>
      <c r="F126" s="63" t="n">
        <f aca="false">F124+F125</f>
        <v>44.0956189881594</v>
      </c>
      <c r="G126" s="64" t="n">
        <f aca="false">E126*Assumptions!$B$5</f>
        <v>4579.16043338578</v>
      </c>
      <c r="H126" s="64" t="n">
        <f aca="false">F126*Assumptions!$B$5</f>
        <v>5952.90856340152</v>
      </c>
    </row>
    <row r="127" customFormat="false" ht="15" hidden="false" customHeight="true" outlineLevel="0" collapsed="false">
      <c r="A127" s="66" t="s">
        <v>389</v>
      </c>
      <c r="B127" s="67"/>
      <c r="C127" s="67"/>
      <c r="D127" s="67"/>
      <c r="E127" s="68" t="n">
        <f aca="false">G127/Assumptions!$B$5</f>
        <v>296.296296296296</v>
      </c>
      <c r="F127" s="68" t="n">
        <f aca="false">H127/Assumptions!$B$5</f>
        <v>370.37037037037</v>
      </c>
      <c r="G127" s="69" t="n">
        <v>40000</v>
      </c>
      <c r="H127" s="69" t="n">
        <v>50000</v>
      </c>
    </row>
    <row r="128" customFormat="false" ht="15" hidden="false" customHeight="true" outlineLevel="0" collapsed="false">
      <c r="A128" s="61" t="s">
        <v>390</v>
      </c>
      <c r="B128" s="62"/>
      <c r="C128" s="62"/>
      <c r="D128" s="62"/>
      <c r="E128" s="63" t="n">
        <f aca="false">E127-E126</f>
        <v>262.376589382328</v>
      </c>
      <c r="F128" s="63" t="n">
        <f aca="false">F127-F126</f>
        <v>326.274751382211</v>
      </c>
      <c r="G128" s="64" t="n">
        <f aca="false">G127-G126</f>
        <v>35420.8395666142</v>
      </c>
      <c r="H128" s="64" t="n">
        <f aca="false">H127-H126</f>
        <v>44047.0914365985</v>
      </c>
    </row>
    <row r="129" customFormat="false" ht="15" hidden="false" customHeight="true" outlineLevel="0" collapsed="false">
      <c r="A129" s="61" t="s">
        <v>391</v>
      </c>
      <c r="B129" s="62"/>
      <c r="C129" s="62"/>
      <c r="D129" s="62"/>
      <c r="E129" s="62"/>
      <c r="F129" s="62"/>
      <c r="G129" s="70" t="n">
        <f aca="false">G128/G127</f>
        <v>0.885520989165355</v>
      </c>
      <c r="H129" s="70" t="n">
        <f aca="false">H128/H127</f>
        <v>0.88094182873197</v>
      </c>
    </row>
    <row r="131" customFormat="false" ht="15" hidden="false" customHeight="true" outlineLevel="0" collapsed="false">
      <c r="A131" s="22" t="s">
        <v>437</v>
      </c>
      <c r="B131" s="55" t="s">
        <v>438</v>
      </c>
      <c r="C131" s="23"/>
      <c r="D131" s="23"/>
      <c r="E131" s="23"/>
      <c r="F131" s="23"/>
      <c r="G131" s="23"/>
      <c r="H131" s="23"/>
    </row>
    <row r="132" customFormat="false" ht="195" hidden="false" customHeight="true" outlineLevel="0" collapsed="false">
      <c r="A132" s="26" t="s">
        <v>361</v>
      </c>
      <c r="B132" s="56" t="s">
        <v>439</v>
      </c>
      <c r="C132" s="56"/>
      <c r="D132" s="56"/>
      <c r="E132" s="56"/>
      <c r="F132" s="56"/>
      <c r="G132" s="56"/>
      <c r="H132" s="56"/>
    </row>
    <row r="133" customFormat="false" ht="23.25" hidden="false" customHeight="true" outlineLevel="0" collapsed="false">
      <c r="A133" s="24" t="s">
        <v>363</v>
      </c>
      <c r="B133" s="25" t="s">
        <v>364</v>
      </c>
      <c r="C133" s="25" t="s">
        <v>365</v>
      </c>
      <c r="D133" s="25" t="s">
        <v>366</v>
      </c>
      <c r="E133" s="25" t="s">
        <v>367</v>
      </c>
      <c r="F133" s="25" t="s">
        <v>368</v>
      </c>
      <c r="G133" s="25" t="s">
        <v>369</v>
      </c>
      <c r="H133" s="25" t="s">
        <v>370</v>
      </c>
    </row>
    <row r="134" customFormat="false" ht="15" hidden="false" customHeight="true" outlineLevel="0" collapsed="false">
      <c r="A134" s="26" t="s">
        <v>373</v>
      </c>
      <c r="B134" s="57" t="n">
        <v>1</v>
      </c>
      <c r="C134" s="57" t="n">
        <f aca="false">B134*1.3</f>
        <v>1.3</v>
      </c>
      <c r="D134" s="58" t="n">
        <f aca="false">'Product Costs'!H10</f>
        <v>0.917780232916907</v>
      </c>
      <c r="E134" s="59" t="n">
        <f aca="false">B134*D134</f>
        <v>0.917780232916907</v>
      </c>
      <c r="F134" s="59" t="n">
        <f aca="false">C134*D134</f>
        <v>1.19311430279198</v>
      </c>
      <c r="G134" s="60" t="n">
        <f aca="false">E134*Assumptions!$B$5</f>
        <v>123.900331443782</v>
      </c>
      <c r="H134" s="60" t="n">
        <f aca="false">F134*Assumptions!$B$5</f>
        <v>161.070430876917</v>
      </c>
    </row>
    <row r="135" customFormat="false" ht="15" hidden="false" customHeight="true" outlineLevel="0" collapsed="false">
      <c r="A135" s="26" t="s">
        <v>374</v>
      </c>
      <c r="B135" s="57" t="n">
        <v>1</v>
      </c>
      <c r="C135" s="57" t="n">
        <f aca="false">B135*1.3</f>
        <v>1.3</v>
      </c>
      <c r="D135" s="58" t="n">
        <f aca="false">'Product Costs'!H20</f>
        <v>0.206500552406304</v>
      </c>
      <c r="E135" s="59" t="n">
        <f aca="false">B135*D135</f>
        <v>0.206500552406304</v>
      </c>
      <c r="F135" s="59" t="n">
        <f aca="false">C135*D135</f>
        <v>0.268450718128195</v>
      </c>
      <c r="G135" s="60" t="n">
        <f aca="false">E135*Assumptions!$B$5</f>
        <v>27.8775745748511</v>
      </c>
      <c r="H135" s="60" t="n">
        <f aca="false">F135*Assumptions!$B$5</f>
        <v>36.2408469473064</v>
      </c>
    </row>
    <row r="136" customFormat="false" ht="15" hidden="false" customHeight="true" outlineLevel="0" collapsed="false">
      <c r="A136" s="26" t="s">
        <v>375</v>
      </c>
      <c r="B136" s="57" t="n">
        <v>1</v>
      </c>
      <c r="C136" s="57" t="n">
        <f aca="false">B136*1.3</f>
        <v>1.3</v>
      </c>
      <c r="D136" s="58" t="n">
        <f aca="false">'Product Costs'!H19</f>
        <v>0.289100773368826</v>
      </c>
      <c r="E136" s="59" t="n">
        <f aca="false">B136*D136</f>
        <v>0.289100773368826</v>
      </c>
      <c r="F136" s="59" t="n">
        <f aca="false">C136*D136</f>
        <v>0.375831005379474</v>
      </c>
      <c r="G136" s="60" t="n">
        <f aca="false">E136*Assumptions!$B$5</f>
        <v>39.0286044047915</v>
      </c>
      <c r="H136" s="60" t="n">
        <f aca="false">F136*Assumptions!$B$5</f>
        <v>50.7371857262289</v>
      </c>
    </row>
    <row r="137" customFormat="false" ht="15" hidden="false" customHeight="true" outlineLevel="0" collapsed="false">
      <c r="A137" s="26" t="s">
        <v>376</v>
      </c>
      <c r="B137" s="57" t="n">
        <v>1</v>
      </c>
      <c r="C137" s="57" t="n">
        <f aca="false">B137*1.3</f>
        <v>1.3</v>
      </c>
      <c r="D137" s="58" t="n">
        <f aca="false">'Product Costs'!H18</f>
        <v>0.68833517468768</v>
      </c>
      <c r="E137" s="59" t="n">
        <f aca="false">B137*D137</f>
        <v>0.68833517468768</v>
      </c>
      <c r="F137" s="59" t="n">
        <f aca="false">C137*D137</f>
        <v>0.894835727093985</v>
      </c>
      <c r="G137" s="60" t="n">
        <f aca="false">E137*Assumptions!$B$5</f>
        <v>92.9252485828368</v>
      </c>
      <c r="H137" s="60" t="n">
        <f aca="false">F137*Assumptions!$B$5</f>
        <v>120.802823157688</v>
      </c>
    </row>
    <row r="138" customFormat="false" ht="15" hidden="false" customHeight="true" outlineLevel="0" collapsed="false">
      <c r="A138" s="26" t="s">
        <v>377</v>
      </c>
      <c r="B138" s="57" t="n">
        <v>1</v>
      </c>
      <c r="C138" s="57" t="n">
        <f aca="false">B138*1.3</f>
        <v>1.3</v>
      </c>
      <c r="D138" s="58" t="n">
        <f aca="false">'Product Costs'!H36</f>
        <v>0.385467697825101</v>
      </c>
      <c r="E138" s="59" t="n">
        <f aca="false">B138*D138</f>
        <v>0.385467697825101</v>
      </c>
      <c r="F138" s="59" t="n">
        <f aca="false">C138*D138</f>
        <v>0.501108007172631</v>
      </c>
      <c r="G138" s="60" t="n">
        <f aca="false">E138*Assumptions!$B$5</f>
        <v>52.0381392063886</v>
      </c>
      <c r="H138" s="60" t="n">
        <f aca="false">F138*Assumptions!$B$5</f>
        <v>67.6495809683052</v>
      </c>
    </row>
    <row r="139" customFormat="false" ht="15" hidden="false" customHeight="true" outlineLevel="0" collapsed="false">
      <c r="A139" s="26" t="s">
        <v>378</v>
      </c>
      <c r="B139" s="57" t="n">
        <v>1</v>
      </c>
      <c r="C139" s="57" t="n">
        <f aca="false">B139*1.3</f>
        <v>1.3</v>
      </c>
      <c r="D139" s="58" t="n">
        <f aca="false">'Product Costs'!H24</f>
        <v>0.715868581675188</v>
      </c>
      <c r="E139" s="59" t="n">
        <f aca="false">B139*D139</f>
        <v>0.715868581675188</v>
      </c>
      <c r="F139" s="59" t="n">
        <f aca="false">C139*D139</f>
        <v>0.930629156177744</v>
      </c>
      <c r="G139" s="60" t="n">
        <f aca="false">E139*Assumptions!$B$5</f>
        <v>96.6422585261503</v>
      </c>
      <c r="H139" s="60" t="n">
        <f aca="false">F139*Assumptions!$B$5</f>
        <v>125.634936083995</v>
      </c>
    </row>
    <row r="140" customFormat="false" ht="15" hidden="false" customHeight="true" outlineLevel="0" collapsed="false">
      <c r="A140" s="26" t="s">
        <v>379</v>
      </c>
      <c r="B140" s="57" t="n">
        <v>0.5</v>
      </c>
      <c r="C140" s="57" t="n">
        <f aca="false">B140*1.3</f>
        <v>0.65</v>
      </c>
      <c r="D140" s="58" t="n">
        <f aca="false">'Product Costs'!H22</f>
        <v>0.313499188471617</v>
      </c>
      <c r="E140" s="59" t="n">
        <f aca="false">B140*D140</f>
        <v>0.156749594235808</v>
      </c>
      <c r="F140" s="59" t="n">
        <f aca="false">C140*D140</f>
        <v>0.203774472506551</v>
      </c>
      <c r="G140" s="60" t="n">
        <f aca="false">E140*Assumptions!$B$5</f>
        <v>21.1611952218341</v>
      </c>
      <c r="H140" s="60" t="n">
        <f aca="false">F140*Assumptions!$B$5</f>
        <v>27.5095537883844</v>
      </c>
    </row>
    <row r="141" customFormat="false" ht="15" hidden="false" customHeight="true" outlineLevel="0" collapsed="false">
      <c r="A141" s="26" t="s">
        <v>380</v>
      </c>
      <c r="B141" s="57" t="n">
        <v>0.6</v>
      </c>
      <c r="C141" s="57" t="n">
        <f aca="false">B141*1.3</f>
        <v>0.78</v>
      </c>
      <c r="D141" s="58" t="n">
        <f aca="false">'Product Costs'!H49</f>
        <v>0.0275334069875072</v>
      </c>
      <c r="E141" s="59" t="n">
        <f aca="false">B141*D141</f>
        <v>0.0165200441925043</v>
      </c>
      <c r="F141" s="59" t="n">
        <f aca="false">C141*D141</f>
        <v>0.0214760574502556</v>
      </c>
      <c r="G141" s="60" t="n">
        <f aca="false">E141*Assumptions!$B$5</f>
        <v>2.23020596598808</v>
      </c>
      <c r="H141" s="60" t="n">
        <f aca="false">F141*Assumptions!$B$5</f>
        <v>2.89926775578451</v>
      </c>
    </row>
    <row r="142" customFormat="false" ht="15" hidden="false" customHeight="true" outlineLevel="0" collapsed="false">
      <c r="A142" s="26" t="s">
        <v>381</v>
      </c>
      <c r="B142" s="57" t="n">
        <v>0.2</v>
      </c>
      <c r="C142" s="57" t="n">
        <f aca="false">B142*1.3</f>
        <v>0.26</v>
      </c>
      <c r="D142" s="58" t="n">
        <f aca="false">'Product Costs'!H50</f>
        <v>0.019273384891255</v>
      </c>
      <c r="E142" s="59" t="n">
        <f aca="false">B142*D142</f>
        <v>0.00385467697825101</v>
      </c>
      <c r="F142" s="59" t="n">
        <f aca="false">C142*D142</f>
        <v>0.00501108007172631</v>
      </c>
      <c r="G142" s="60" t="n">
        <f aca="false">E142*Assumptions!$B$5</f>
        <v>0.520381392063886</v>
      </c>
      <c r="H142" s="60" t="n">
        <f aca="false">F142*Assumptions!$B$5</f>
        <v>0.676495809683052</v>
      </c>
    </row>
    <row r="143" customFormat="false" ht="15" hidden="false" customHeight="true" outlineLevel="0" collapsed="false">
      <c r="A143" s="26" t="s">
        <v>382</v>
      </c>
      <c r="B143" s="57" t="n">
        <v>0.3</v>
      </c>
      <c r="C143" s="57" t="n">
        <f aca="false">B143*1.3</f>
        <v>0.39</v>
      </c>
      <c r="D143" s="58" t="n">
        <f aca="false">'Product Costs'!H47</f>
        <v>0.0413001104812608</v>
      </c>
      <c r="E143" s="59" t="n">
        <f aca="false">B143*D143</f>
        <v>0.0123900331443782</v>
      </c>
      <c r="F143" s="59" t="n">
        <f aca="false">C143*D143</f>
        <v>0.0161070430876917</v>
      </c>
      <c r="G143" s="60" t="n">
        <f aca="false">E143*Assumptions!$B$5</f>
        <v>1.67265447449106</v>
      </c>
      <c r="H143" s="60" t="n">
        <f aca="false">F143*Assumptions!$B$5</f>
        <v>2.17445081683838</v>
      </c>
    </row>
    <row r="144" customFormat="false" ht="15" hidden="false" customHeight="true" outlineLevel="0" collapsed="false">
      <c r="A144" s="26" t="s">
        <v>383</v>
      </c>
      <c r="B144" s="57" t="n">
        <v>0.2</v>
      </c>
      <c r="C144" s="57" t="n">
        <f aca="false">B144*1.3</f>
        <v>0.26</v>
      </c>
      <c r="D144" s="58" t="n">
        <f aca="false">'Product Costs'!H48</f>
        <v>0.068833517468768</v>
      </c>
      <c r="E144" s="59" t="n">
        <f aca="false">B144*D144</f>
        <v>0.0137667034937536</v>
      </c>
      <c r="F144" s="59" t="n">
        <f aca="false">C144*D144</f>
        <v>0.0178967145418797</v>
      </c>
      <c r="G144" s="60" t="n">
        <f aca="false">E144*Assumptions!$B$5</f>
        <v>1.85850497165674</v>
      </c>
      <c r="H144" s="60" t="n">
        <f aca="false">F144*Assumptions!$B$5</f>
        <v>2.41605646315376</v>
      </c>
    </row>
    <row r="145" customFormat="false" ht="15" hidden="false" customHeight="true" outlineLevel="0" collapsed="false">
      <c r="A145" s="26" t="s">
        <v>384</v>
      </c>
      <c r="B145" s="57" t="n">
        <v>0.3</v>
      </c>
      <c r="C145" s="57" t="n">
        <f aca="false">B145*1.3</f>
        <v>0.39</v>
      </c>
      <c r="D145" s="58" t="n">
        <f aca="false">'Product Costs'!H66</f>
        <v>0.0183556046583381</v>
      </c>
      <c r="E145" s="59" t="n">
        <f aca="false">B145*D145</f>
        <v>0.00550668139750144</v>
      </c>
      <c r="F145" s="59" t="n">
        <f aca="false">C145*D145</f>
        <v>0.00715868581675188</v>
      </c>
      <c r="G145" s="60" t="n">
        <f aca="false">E145*Assumptions!$B$5</f>
        <v>0.743401988662695</v>
      </c>
      <c r="H145" s="60" t="n">
        <f aca="false">F145*Assumptions!$B$5</f>
        <v>0.966422585261503</v>
      </c>
    </row>
    <row r="146" customFormat="false" ht="15" hidden="false" customHeight="true" outlineLevel="0" collapsed="false">
      <c r="A146" s="26" t="s">
        <v>395</v>
      </c>
      <c r="B146" s="57" t="n">
        <v>2.1</v>
      </c>
      <c r="C146" s="57" t="n">
        <f aca="false">B146*1.3</f>
        <v>2.73</v>
      </c>
      <c r="D146" s="58" t="n">
        <f aca="false">'Product Costs'!H21</f>
        <v>0.41403619530086</v>
      </c>
      <c r="E146" s="59" t="n">
        <f aca="false">B146*D146</f>
        <v>0.869476010131807</v>
      </c>
      <c r="F146" s="59" t="n">
        <f aca="false">C146*D146</f>
        <v>1.13031881317135</v>
      </c>
      <c r="G146" s="60" t="n">
        <f aca="false">E146*Assumptions!$B$5</f>
        <v>117.379261367794</v>
      </c>
      <c r="H146" s="60" t="n">
        <f aca="false">F146*Assumptions!$B$5</f>
        <v>152.593039778132</v>
      </c>
    </row>
    <row r="147" customFormat="false" ht="15" hidden="false" customHeight="true" outlineLevel="0" collapsed="false">
      <c r="A147" s="26" t="s">
        <v>396</v>
      </c>
      <c r="B147" s="57" t="n">
        <v>1</v>
      </c>
      <c r="C147" s="57" t="n">
        <f aca="false">B147*1.3</f>
        <v>1.3</v>
      </c>
      <c r="D147" s="58" t="n">
        <f aca="false">'Product Costs'!H23</f>
        <v>0.337284235596963</v>
      </c>
      <c r="E147" s="59" t="n">
        <f aca="false">B147*D147</f>
        <v>0.337284235596963</v>
      </c>
      <c r="F147" s="59" t="n">
        <f aca="false">C147*D147</f>
        <v>0.438469506276052</v>
      </c>
      <c r="G147" s="60" t="n">
        <f aca="false">E147*Assumptions!$B$5</f>
        <v>45.5333718055901</v>
      </c>
      <c r="H147" s="60" t="n">
        <f aca="false">F147*Assumptions!$B$5</f>
        <v>59.1933833472671</v>
      </c>
    </row>
    <row r="148" customFormat="false" ht="15" hidden="false" customHeight="true" outlineLevel="0" collapsed="false">
      <c r="A148" s="26" t="s">
        <v>397</v>
      </c>
      <c r="B148" s="57" t="n">
        <v>1</v>
      </c>
      <c r="C148" s="57" t="n">
        <f aca="false">B148*1.3</f>
        <v>1.3</v>
      </c>
      <c r="D148" s="58" t="n">
        <f aca="false">'Product Costs'!H33</f>
        <v>2.25273329897786</v>
      </c>
      <c r="E148" s="59" t="n">
        <f aca="false">B148*D148</f>
        <v>2.25273329897786</v>
      </c>
      <c r="F148" s="59" t="n">
        <f aca="false">C148*D148</f>
        <v>2.92855328867122</v>
      </c>
      <c r="G148" s="60" t="n">
        <f aca="false">E148*Assumptions!$B$5</f>
        <v>304.118995362012</v>
      </c>
      <c r="H148" s="60" t="n">
        <f aca="false">F148*Assumptions!$B$5</f>
        <v>395.354693970615</v>
      </c>
    </row>
    <row r="149" customFormat="false" ht="15" hidden="false" customHeight="true" outlineLevel="0" collapsed="false">
      <c r="A149" s="26" t="s">
        <v>398</v>
      </c>
      <c r="B149" s="57" t="n">
        <v>1</v>
      </c>
      <c r="C149" s="57" t="n">
        <f aca="false">B149*1.3</f>
        <v>1.3</v>
      </c>
      <c r="D149" s="58" t="n">
        <f aca="false">'Product Costs'!H6</f>
        <v>0.165365807732776</v>
      </c>
      <c r="E149" s="59" t="n">
        <f aca="false">B149*D149</f>
        <v>0.165365807732776</v>
      </c>
      <c r="F149" s="59" t="n">
        <f aca="false">C149*D149</f>
        <v>0.214975550052609</v>
      </c>
      <c r="G149" s="60" t="n">
        <f aca="false">E149*Assumptions!$B$5</f>
        <v>22.3243840439248</v>
      </c>
      <c r="H149" s="60" t="n">
        <f aca="false">F149*Assumptions!$B$5</f>
        <v>29.0216992571022</v>
      </c>
    </row>
    <row r="150" customFormat="false" ht="15" hidden="false" customHeight="true" outlineLevel="0" collapsed="false">
      <c r="A150" s="26" t="s">
        <v>399</v>
      </c>
      <c r="B150" s="57" t="n">
        <v>1</v>
      </c>
      <c r="C150" s="57" t="n">
        <f aca="false">B150*1.3</f>
        <v>1.3</v>
      </c>
      <c r="D150" s="58" t="n">
        <f aca="false">'Product Costs'!H71</f>
        <v>0.724563341776506</v>
      </c>
      <c r="E150" s="59" t="n">
        <f aca="false">B150*D150</f>
        <v>0.724563341776506</v>
      </c>
      <c r="F150" s="59" t="n">
        <f aca="false">C150*D150</f>
        <v>0.941932344309457</v>
      </c>
      <c r="G150" s="60" t="n">
        <f aca="false">E150*Assumptions!$B$5</f>
        <v>97.8160511398283</v>
      </c>
      <c r="H150" s="60" t="n">
        <f aca="false">F150*Assumptions!$B$5</f>
        <v>127.160866481777</v>
      </c>
    </row>
    <row r="151" customFormat="false" ht="15" hidden="false" customHeight="true" outlineLevel="0" collapsed="false">
      <c r="A151" s="26" t="s">
        <v>400</v>
      </c>
      <c r="B151" s="57" t="n">
        <v>1</v>
      </c>
      <c r="C151" s="57" t="n">
        <f aca="false">B151*1.3</f>
        <v>1.3</v>
      </c>
      <c r="D151" s="58" t="n">
        <f aca="false">'Product Costs'!H32</f>
        <v>0.349304417005689</v>
      </c>
      <c r="E151" s="59" t="n">
        <f aca="false">B151*D151</f>
        <v>0.349304417005689</v>
      </c>
      <c r="F151" s="59" t="n">
        <f aca="false">C151*D151</f>
        <v>0.454095742107395</v>
      </c>
      <c r="G151" s="60" t="n">
        <f aca="false">E151*Assumptions!$B$5</f>
        <v>47.156096295768</v>
      </c>
      <c r="H151" s="60" t="n">
        <f aca="false">F151*Assumptions!$B$5</f>
        <v>61.3029251844983</v>
      </c>
    </row>
    <row r="152" customFormat="false" ht="15" hidden="false" customHeight="true" outlineLevel="0" collapsed="false">
      <c r="A152" s="26" t="s">
        <v>415</v>
      </c>
      <c r="B152" s="57" t="n">
        <v>1</v>
      </c>
      <c r="C152" s="57" t="n">
        <f aca="false">B152*1.3</f>
        <v>1.3</v>
      </c>
      <c r="D152" s="58" t="n">
        <f aca="false">'Product Costs'!H31</f>
        <v>1.32160353540035</v>
      </c>
      <c r="E152" s="59" t="n">
        <f aca="false">B152*D152</f>
        <v>1.32160353540035</v>
      </c>
      <c r="F152" s="59" t="n">
        <f aca="false">C152*D152</f>
        <v>1.71808459602045</v>
      </c>
      <c r="G152" s="60" t="n">
        <f aca="false">E152*Assumptions!$B$5</f>
        <v>178.416477279047</v>
      </c>
      <c r="H152" s="60" t="n">
        <f aca="false">F152*Assumptions!$B$5</f>
        <v>231.941420462761</v>
      </c>
    </row>
    <row r="153" customFormat="false" ht="15" hidden="false" customHeight="true" outlineLevel="0" collapsed="false">
      <c r="A153" s="26" t="s">
        <v>401</v>
      </c>
      <c r="B153" s="57" t="n">
        <v>1</v>
      </c>
      <c r="C153" s="57" t="n">
        <f aca="false">B153*1.3</f>
        <v>1.3</v>
      </c>
      <c r="D153" s="58" t="n">
        <f aca="false">'Product Costs'!H11</f>
        <v>0.159693760527542</v>
      </c>
      <c r="E153" s="59" t="n">
        <f aca="false">B153*D153</f>
        <v>0.159693760527542</v>
      </c>
      <c r="F153" s="59" t="n">
        <f aca="false">C153*D153</f>
        <v>0.207601888685804</v>
      </c>
      <c r="G153" s="60" t="n">
        <f aca="false">E153*Assumptions!$B$5</f>
        <v>21.5586576712181</v>
      </c>
      <c r="H153" s="60" t="n">
        <f aca="false">F153*Assumptions!$B$5</f>
        <v>28.0262549725836</v>
      </c>
    </row>
    <row r="154" customFormat="false" ht="15" hidden="false" customHeight="true" outlineLevel="0" collapsed="false">
      <c r="A154" s="26" t="s">
        <v>402</v>
      </c>
      <c r="B154" s="57" t="n">
        <v>0.2</v>
      </c>
      <c r="C154" s="57" t="n">
        <f aca="false">B154*1.3</f>
        <v>0.26</v>
      </c>
      <c r="D154" s="58" t="n">
        <f aca="false">'Product Costs'!H53</f>
        <v>0.137667034937536</v>
      </c>
      <c r="E154" s="59" t="n">
        <f aca="false">B154*D154</f>
        <v>0.0275334069875072</v>
      </c>
      <c r="F154" s="59" t="n">
        <f aca="false">C154*D154</f>
        <v>0.0357934290837594</v>
      </c>
      <c r="G154" s="60" t="n">
        <f aca="false">E154*Assumptions!$B$5</f>
        <v>3.71700994331347</v>
      </c>
      <c r="H154" s="60" t="n">
        <f aca="false">F154*Assumptions!$B$5</f>
        <v>4.83211292630752</v>
      </c>
    </row>
    <row r="155" customFormat="false" ht="15" hidden="false" customHeight="true" outlineLevel="0" collapsed="false">
      <c r="A155" s="26" t="s">
        <v>403</v>
      </c>
      <c r="B155" s="57" t="n">
        <v>1.5</v>
      </c>
      <c r="C155" s="57" t="n">
        <f aca="false">B155*1.3</f>
        <v>1.95</v>
      </c>
      <c r="D155" s="58" t="n">
        <f aca="false">'Product Costs'!H57</f>
        <v>0.0504779128104299</v>
      </c>
      <c r="E155" s="59" t="n">
        <f aca="false">B155*D155</f>
        <v>0.0757168692156448</v>
      </c>
      <c r="F155" s="59" t="n">
        <f aca="false">C155*D155</f>
        <v>0.0984319299803383</v>
      </c>
      <c r="G155" s="60" t="n">
        <f aca="false">E155*Assumptions!$B$5</f>
        <v>10.2217773441121</v>
      </c>
      <c r="H155" s="60" t="n">
        <f aca="false">F155*Assumptions!$B$5</f>
        <v>13.2883105473457</v>
      </c>
    </row>
    <row r="156" customFormat="false" ht="15" hidden="false" customHeight="true" outlineLevel="0" collapsed="false">
      <c r="A156" s="26" t="s">
        <v>404</v>
      </c>
      <c r="B156" s="57" t="n">
        <v>1.5</v>
      </c>
      <c r="C156" s="57" t="n">
        <f aca="false">B156*1.3</f>
        <v>1.95</v>
      </c>
      <c r="D156" s="58" t="n">
        <f aca="false">'Product Costs'!H58</f>
        <v>0.0183556046583381</v>
      </c>
      <c r="E156" s="59" t="n">
        <f aca="false">B156*D156</f>
        <v>0.0275334069875072</v>
      </c>
      <c r="F156" s="59" t="n">
        <f aca="false">C156*D156</f>
        <v>0.0357934290837594</v>
      </c>
      <c r="G156" s="60" t="n">
        <f aca="false">E156*Assumptions!$B$5</f>
        <v>3.71700994331347</v>
      </c>
      <c r="H156" s="60" t="n">
        <f aca="false">F156*Assumptions!$B$5</f>
        <v>4.83211292630752</v>
      </c>
    </row>
    <row r="157" customFormat="false" ht="15" hidden="false" customHeight="true" outlineLevel="0" collapsed="false">
      <c r="A157" s="26" t="s">
        <v>405</v>
      </c>
      <c r="B157" s="57" t="n">
        <v>1.3</v>
      </c>
      <c r="C157" s="57" t="n">
        <f aca="false">B157*1.3</f>
        <v>1.69</v>
      </c>
      <c r="D157" s="58" t="n">
        <f aca="false">'Product Costs'!H55</f>
        <v>0.0642446163041835</v>
      </c>
      <c r="E157" s="59" t="n">
        <f aca="false">B157*D157</f>
        <v>0.0835180011954385</v>
      </c>
      <c r="F157" s="59" t="n">
        <f aca="false">C157*D157</f>
        <v>0.10857340155407</v>
      </c>
      <c r="G157" s="60" t="n">
        <f aca="false">E157*Assumptions!$B$5</f>
        <v>11.2749301613842</v>
      </c>
      <c r="H157" s="60" t="n">
        <f aca="false">F157*Assumptions!$B$5</f>
        <v>14.6574092097995</v>
      </c>
    </row>
    <row r="158" customFormat="false" ht="15" hidden="false" customHeight="true" outlineLevel="0" collapsed="false">
      <c r="A158" s="26" t="s">
        <v>406</v>
      </c>
      <c r="B158" s="57" t="n">
        <v>1</v>
      </c>
      <c r="C158" s="57" t="n">
        <f aca="false">B158*1.3</f>
        <v>1.3</v>
      </c>
      <c r="D158" s="58" t="n">
        <f aca="false">'Product Costs'!H54</f>
        <v>0.0573612645573067</v>
      </c>
      <c r="E158" s="59" t="n">
        <f aca="false">B158*D158</f>
        <v>0.0573612645573067</v>
      </c>
      <c r="F158" s="59" t="n">
        <f aca="false">C158*D158</f>
        <v>0.0745696439244987</v>
      </c>
      <c r="G158" s="60" t="n">
        <f aca="false">E158*Assumptions!$B$5</f>
        <v>7.7437707152364</v>
      </c>
      <c r="H158" s="60" t="n">
        <f aca="false">F158*Assumptions!$B$5</f>
        <v>10.0669019298073</v>
      </c>
    </row>
    <row r="159" customFormat="false" ht="15" hidden="false" customHeight="true" outlineLevel="0" collapsed="false">
      <c r="A159" s="26" t="s">
        <v>407</v>
      </c>
      <c r="B159" s="57" t="n">
        <v>1</v>
      </c>
      <c r="C159" s="57" t="n">
        <f aca="false">B159*1.3</f>
        <v>1.3</v>
      </c>
      <c r="D159" s="58" t="n">
        <f aca="false">'Product Costs'!H59</f>
        <v>0.0103250276203152</v>
      </c>
      <c r="E159" s="59" t="n">
        <f aca="false">B159*D159</f>
        <v>0.0103250276203152</v>
      </c>
      <c r="F159" s="59" t="n">
        <f aca="false">C159*D159</f>
        <v>0.0134225359064098</v>
      </c>
      <c r="G159" s="60" t="n">
        <f aca="false">E159*Assumptions!$B$5</f>
        <v>1.39387872874255</v>
      </c>
      <c r="H159" s="60" t="n">
        <f aca="false">F159*Assumptions!$B$5</f>
        <v>1.81204234736532</v>
      </c>
    </row>
    <row r="160" customFormat="false" ht="15" hidden="false" customHeight="true" outlineLevel="0" collapsed="false">
      <c r="A160" s="26" t="s">
        <v>408</v>
      </c>
      <c r="B160" s="57" t="n">
        <v>1</v>
      </c>
      <c r="C160" s="57" t="n">
        <f aca="false">B160*1.3</f>
        <v>1.3</v>
      </c>
      <c r="D160" s="58" t="n">
        <f aca="false">'Product Costs'!H60</f>
        <v>0.0160611540760459</v>
      </c>
      <c r="E160" s="59" t="n">
        <f aca="false">B160*D160</f>
        <v>0.0160611540760459</v>
      </c>
      <c r="F160" s="59" t="n">
        <f aca="false">C160*D160</f>
        <v>0.0208795002988596</v>
      </c>
      <c r="G160" s="60" t="n">
        <f aca="false">E160*Assumptions!$B$5</f>
        <v>2.16825580026619</v>
      </c>
      <c r="H160" s="60" t="n">
        <f aca="false">F160*Assumptions!$B$5</f>
        <v>2.81873254034605</v>
      </c>
    </row>
    <row r="161" customFormat="false" ht="15" hidden="false" customHeight="true" outlineLevel="0" collapsed="false">
      <c r="A161" s="26" t="s">
        <v>409</v>
      </c>
      <c r="B161" s="57" t="n">
        <v>0.3</v>
      </c>
      <c r="C161" s="57" t="n">
        <f aca="false">B161*1.3</f>
        <v>0.39</v>
      </c>
      <c r="D161" s="58" t="n">
        <f aca="false">'Product Costs'!H67</f>
        <v>0.0321223081520917</v>
      </c>
      <c r="E161" s="59" t="n">
        <f aca="false">B161*D161</f>
        <v>0.00963669244562752</v>
      </c>
      <c r="F161" s="59" t="n">
        <f aca="false">C161*D161</f>
        <v>0.0125277001793158</v>
      </c>
      <c r="G161" s="60" t="n">
        <f aca="false">E161*Assumptions!$B$5</f>
        <v>1.30095348015972</v>
      </c>
      <c r="H161" s="60" t="n">
        <f aca="false">F161*Assumptions!$B$5</f>
        <v>1.69123952420763</v>
      </c>
    </row>
    <row r="162" customFormat="false" ht="15" hidden="false" customHeight="true" outlineLevel="0" collapsed="false">
      <c r="A162" s="26" t="s">
        <v>416</v>
      </c>
      <c r="B162" s="57" t="n">
        <v>1</v>
      </c>
      <c r="C162" s="57" t="n">
        <f aca="false">B162*1.3</f>
        <v>1.3</v>
      </c>
      <c r="D162" s="58" t="n">
        <f aca="false">'Product Costs'!H38</f>
        <v>0.90466908673238</v>
      </c>
      <c r="E162" s="59" t="n">
        <f aca="false">B162*D162</f>
        <v>0.90466908673238</v>
      </c>
      <c r="F162" s="59" t="n">
        <f aca="false">C162*D162</f>
        <v>1.17606981275209</v>
      </c>
      <c r="G162" s="60" t="n">
        <f aca="false">E162*Assumptions!$B$5</f>
        <v>122.130326708871</v>
      </c>
      <c r="H162" s="60" t="n">
        <f aca="false">F162*Assumptions!$B$5</f>
        <v>158.769424721533</v>
      </c>
    </row>
    <row r="163" customFormat="false" ht="15" hidden="false" customHeight="true" outlineLevel="0" collapsed="false">
      <c r="A163" s="26" t="s">
        <v>417</v>
      </c>
      <c r="B163" s="57" t="n">
        <v>1</v>
      </c>
      <c r="C163" s="57" t="n">
        <f aca="false">B163*1.3</f>
        <v>1.3</v>
      </c>
      <c r="D163" s="58" t="n">
        <f aca="false">'Product Costs'!H39</f>
        <v>0.90466908673238</v>
      </c>
      <c r="E163" s="59" t="n">
        <f aca="false">B163*D163</f>
        <v>0.90466908673238</v>
      </c>
      <c r="F163" s="59" t="n">
        <f aca="false">C163*D163</f>
        <v>1.17606981275209</v>
      </c>
      <c r="G163" s="60" t="n">
        <f aca="false">E163*Assumptions!$B$5</f>
        <v>122.130326708871</v>
      </c>
      <c r="H163" s="60" t="n">
        <f aca="false">F163*Assumptions!$B$5</f>
        <v>158.769424721533</v>
      </c>
    </row>
    <row r="164" customFormat="false" ht="15" hidden="false" customHeight="true" outlineLevel="0" collapsed="false">
      <c r="A164" s="26" t="s">
        <v>418</v>
      </c>
      <c r="B164" s="57" t="n">
        <v>1</v>
      </c>
      <c r="C164" s="57" t="n">
        <f aca="false">B164*1.3</f>
        <v>1.3</v>
      </c>
      <c r="D164" s="58" t="n">
        <f aca="false">'Product Costs'!H40</f>
        <v>0.90466908673238</v>
      </c>
      <c r="E164" s="59" t="n">
        <f aca="false">B164*D164</f>
        <v>0.90466908673238</v>
      </c>
      <c r="F164" s="59" t="n">
        <f aca="false">C164*D164</f>
        <v>1.17606981275209</v>
      </c>
      <c r="G164" s="60" t="n">
        <f aca="false">E164*Assumptions!$B$5</f>
        <v>122.130326708871</v>
      </c>
      <c r="H164" s="60" t="n">
        <f aca="false">F164*Assumptions!$B$5</f>
        <v>158.769424721533</v>
      </c>
    </row>
    <row r="165" customFormat="false" ht="15" hidden="false" customHeight="true" outlineLevel="0" collapsed="false">
      <c r="A165" s="26" t="s">
        <v>410</v>
      </c>
      <c r="B165" s="57" t="n">
        <v>0.5</v>
      </c>
      <c r="C165" s="57" t="n">
        <f aca="false">B165*1.3</f>
        <v>0.65</v>
      </c>
      <c r="D165" s="58" t="n">
        <f aca="false">'Product Costs'!H12</f>
        <v>0.137667034937536</v>
      </c>
      <c r="E165" s="59" t="n">
        <f aca="false">B165*D165</f>
        <v>0.068833517468768</v>
      </c>
      <c r="F165" s="59" t="n">
        <f aca="false">C165*D165</f>
        <v>0.0894835727093985</v>
      </c>
      <c r="G165" s="60" t="n">
        <f aca="false">E165*Assumptions!$B$5</f>
        <v>9.29252485828368</v>
      </c>
      <c r="H165" s="60" t="n">
        <f aca="false">F165*Assumptions!$B$5</f>
        <v>12.0802823157688</v>
      </c>
    </row>
    <row r="166" customFormat="false" ht="15" hidden="false" customHeight="true" outlineLevel="0" collapsed="false">
      <c r="A166" s="26" t="s">
        <v>419</v>
      </c>
      <c r="B166" s="57" t="n">
        <v>1</v>
      </c>
      <c r="C166" s="57" t="n">
        <f aca="false">B166*1.3</f>
        <v>1.3</v>
      </c>
      <c r="D166" s="58" t="n">
        <f aca="false">'Product Costs'!H41</f>
        <v>0.144369924279064</v>
      </c>
      <c r="E166" s="59" t="n">
        <f aca="false">B166*D166</f>
        <v>0.144369924279064</v>
      </c>
      <c r="F166" s="59" t="n">
        <f aca="false">C166*D166</f>
        <v>0.187680901562783</v>
      </c>
      <c r="G166" s="60" t="n">
        <f aca="false">E166*Assumptions!$B$5</f>
        <v>19.4899397776736</v>
      </c>
      <c r="H166" s="60" t="n">
        <f aca="false">F166*Assumptions!$B$5</f>
        <v>25.3369217109757</v>
      </c>
    </row>
    <row r="167" customFormat="false" ht="15" hidden="false" customHeight="true" outlineLevel="0" collapsed="false">
      <c r="A167" s="26" t="s">
        <v>420</v>
      </c>
      <c r="B167" s="57" t="n">
        <v>1</v>
      </c>
      <c r="C167" s="57" t="n">
        <f aca="false">B167*1.3</f>
        <v>1.3</v>
      </c>
      <c r="D167" s="58" t="n">
        <f aca="false">'Product Costs'!H68</f>
        <v>0.385467697825101</v>
      </c>
      <c r="E167" s="59" t="n">
        <f aca="false">B167*D167</f>
        <v>0.385467697825101</v>
      </c>
      <c r="F167" s="59" t="n">
        <f aca="false">C167*D167</f>
        <v>0.501108007172631</v>
      </c>
      <c r="G167" s="60" t="n">
        <f aca="false">E167*Assumptions!$B$5</f>
        <v>52.0381392063886</v>
      </c>
      <c r="H167" s="60" t="n">
        <f aca="false">F167*Assumptions!$B$5</f>
        <v>67.6495809683052</v>
      </c>
    </row>
    <row r="168" customFormat="false" ht="15" hidden="false" customHeight="true" outlineLevel="0" collapsed="false">
      <c r="A168" s="26" t="s">
        <v>421</v>
      </c>
      <c r="B168" s="57" t="n">
        <v>1</v>
      </c>
      <c r="C168" s="57" t="n">
        <f aca="false">B168*1.3</f>
        <v>1.3</v>
      </c>
      <c r="D168" s="58" t="n">
        <f aca="false">'Product Costs'!H7</f>
        <v>0.491667981919772</v>
      </c>
      <c r="E168" s="59" t="n">
        <f aca="false">B168*D168</f>
        <v>0.491667981919772</v>
      </c>
      <c r="F168" s="59" t="n">
        <f aca="false">C168*D168</f>
        <v>0.639168376495703</v>
      </c>
      <c r="G168" s="60" t="n">
        <f aca="false">E168*Assumptions!$B$5</f>
        <v>66.3751775591692</v>
      </c>
      <c r="H168" s="60" t="n">
        <f aca="false">F168*Assumptions!$B$5</f>
        <v>86.2877308269199</v>
      </c>
    </row>
    <row r="169" customFormat="false" ht="15" hidden="false" customHeight="true" outlineLevel="0" collapsed="false">
      <c r="A169" s="26" t="s">
        <v>422</v>
      </c>
      <c r="B169" s="57" t="n">
        <v>1</v>
      </c>
      <c r="C169" s="57" t="n">
        <f aca="false">B169*1.3</f>
        <v>1.3</v>
      </c>
      <c r="D169" s="58" t="n">
        <f aca="false">'Product Costs'!H8</f>
        <v>0.491667981919772</v>
      </c>
      <c r="E169" s="59" t="n">
        <f aca="false">B169*D169</f>
        <v>0.491667981919772</v>
      </c>
      <c r="F169" s="59" t="n">
        <f aca="false">C169*D169</f>
        <v>0.639168376495703</v>
      </c>
      <c r="G169" s="60" t="n">
        <f aca="false">E169*Assumptions!$B$5</f>
        <v>66.3751775591692</v>
      </c>
      <c r="H169" s="60" t="n">
        <f aca="false">F169*Assumptions!$B$5</f>
        <v>86.2877308269199</v>
      </c>
    </row>
    <row r="170" customFormat="false" ht="15" hidden="false" customHeight="true" outlineLevel="0" collapsed="false">
      <c r="A170" s="26" t="s">
        <v>423</v>
      </c>
      <c r="B170" s="57" t="n">
        <v>1</v>
      </c>
      <c r="C170" s="57" t="n">
        <f aca="false">B170*1.3</f>
        <v>1.3</v>
      </c>
      <c r="D170" s="58" t="n">
        <f aca="false">'Product Costs'!H25</f>
        <v>0.535829776702985</v>
      </c>
      <c r="E170" s="59" t="n">
        <f aca="false">B170*D170</f>
        <v>0.535829776702985</v>
      </c>
      <c r="F170" s="59" t="n">
        <f aca="false">C170*D170</f>
        <v>0.69657870971388</v>
      </c>
      <c r="G170" s="60" t="n">
        <f aca="false">E170*Assumptions!$B$5</f>
        <v>72.3370198549029</v>
      </c>
      <c r="H170" s="60" t="n">
        <f aca="false">F170*Assumptions!$B$5</f>
        <v>94.0381258113738</v>
      </c>
    </row>
    <row r="171" customFormat="false" ht="15" hidden="false" customHeight="true" outlineLevel="0" collapsed="false">
      <c r="A171" s="26" t="s">
        <v>424</v>
      </c>
      <c r="B171" s="57" t="n">
        <v>1</v>
      </c>
      <c r="C171" s="57" t="n">
        <f aca="false">B171*1.3</f>
        <v>1.3</v>
      </c>
      <c r="D171" s="58" t="n">
        <f aca="false">'Product Costs'!H35</f>
        <v>9.63669244562752</v>
      </c>
      <c r="E171" s="59" t="n">
        <f aca="false">B171*D171</f>
        <v>9.63669244562752</v>
      </c>
      <c r="F171" s="59" t="n">
        <f aca="false">C171*D171</f>
        <v>12.5277001793158</v>
      </c>
      <c r="G171" s="60" t="n">
        <f aca="false">E171*Assumptions!$B$5</f>
        <v>1300.95348015972</v>
      </c>
      <c r="H171" s="60" t="n">
        <f aca="false">F171*Assumptions!$B$5</f>
        <v>1691.23952420763</v>
      </c>
    </row>
    <row r="172" customFormat="false" ht="15" hidden="false" customHeight="true" outlineLevel="0" collapsed="false">
      <c r="A172" s="26" t="s">
        <v>425</v>
      </c>
      <c r="B172" s="57" t="n">
        <v>0.1</v>
      </c>
      <c r="C172" s="57" t="n">
        <f aca="false">B172*1.3</f>
        <v>0.13</v>
      </c>
      <c r="D172" s="58" t="n">
        <f aca="false">'Product Costs'!H70</f>
        <v>1.5418707913004</v>
      </c>
      <c r="E172" s="59" t="n">
        <f aca="false">B172*D172</f>
        <v>0.15418707913004</v>
      </c>
      <c r="F172" s="59" t="n">
        <f aca="false">C172*D172</f>
        <v>0.200443202869053</v>
      </c>
      <c r="G172" s="60" t="n">
        <f aca="false">E172*Assumptions!$B$5</f>
        <v>20.8152556825555</v>
      </c>
      <c r="H172" s="60" t="n">
        <f aca="false">F172*Assumptions!$B$5</f>
        <v>27.0598323873221</v>
      </c>
    </row>
    <row r="173" customFormat="false" ht="15" hidden="false" customHeight="true" outlineLevel="0" collapsed="false">
      <c r="A173" s="26" t="s">
        <v>426</v>
      </c>
      <c r="B173" s="57" t="n">
        <v>1</v>
      </c>
      <c r="C173" s="57" t="n">
        <f aca="false">B173*1.3</f>
        <v>1.3</v>
      </c>
      <c r="D173" s="58" t="n">
        <f aca="false">'Product Costs'!H37</f>
        <v>0.539654776955141</v>
      </c>
      <c r="E173" s="59" t="n">
        <f aca="false">B173*D173</f>
        <v>0.539654776955141</v>
      </c>
      <c r="F173" s="59" t="n">
        <f aca="false">C173*D173</f>
        <v>0.701551210041684</v>
      </c>
      <c r="G173" s="60" t="n">
        <f aca="false">E173*Assumptions!$B$5</f>
        <v>72.8533948889441</v>
      </c>
      <c r="H173" s="60" t="n">
        <f aca="false">F173*Assumptions!$B$5</f>
        <v>94.7094133556273</v>
      </c>
    </row>
    <row r="174" customFormat="false" ht="15" hidden="false" customHeight="true" outlineLevel="0" collapsed="false">
      <c r="A174" s="26" t="s">
        <v>427</v>
      </c>
      <c r="B174" s="57" t="n">
        <v>1</v>
      </c>
      <c r="C174" s="57" t="n">
        <f aca="false">B174*1.3</f>
        <v>1.3</v>
      </c>
      <c r="D174" s="58" t="n">
        <f aca="false">'Product Costs'!H30</f>
        <v>0.289825336710602</v>
      </c>
      <c r="E174" s="59" t="n">
        <f aca="false">B174*D174</f>
        <v>0.289825336710602</v>
      </c>
      <c r="F174" s="59" t="n">
        <f aca="false">C174*D174</f>
        <v>0.376772937723783</v>
      </c>
      <c r="G174" s="60" t="n">
        <f aca="false">E174*Assumptions!$B$5</f>
        <v>39.1264204559313</v>
      </c>
      <c r="H174" s="60" t="n">
        <f aca="false">F174*Assumptions!$B$5</f>
        <v>50.8643465927107</v>
      </c>
    </row>
    <row r="175" customFormat="false" ht="15" hidden="false" customHeight="true" outlineLevel="0" collapsed="false">
      <c r="A175" s="26" t="s">
        <v>411</v>
      </c>
      <c r="B175" s="57" t="n">
        <v>1.4</v>
      </c>
      <c r="C175" s="57" t="n">
        <f aca="false">B175*1.3</f>
        <v>1.82</v>
      </c>
      <c r="D175" s="58" t="n">
        <f aca="false">'Product Costs'!H42</f>
        <v>0.124024355799582</v>
      </c>
      <c r="E175" s="59" t="n">
        <f aca="false">B175*D175</f>
        <v>0.173634098119415</v>
      </c>
      <c r="F175" s="59" t="n">
        <f aca="false">C175*D175</f>
        <v>0.225724327555239</v>
      </c>
      <c r="G175" s="60" t="n">
        <f aca="false">E175*Assumptions!$B$5</f>
        <v>23.440603246121</v>
      </c>
      <c r="H175" s="60" t="n">
        <f aca="false">F175*Assumptions!$B$5</f>
        <v>30.4727842199573</v>
      </c>
    </row>
    <row r="176" customFormat="false" ht="15" hidden="false" customHeight="true" outlineLevel="0" collapsed="false">
      <c r="A176" s="26" t="s">
        <v>428</v>
      </c>
      <c r="B176" s="57" t="n">
        <v>1</v>
      </c>
      <c r="C176" s="57" t="n">
        <f aca="false">B176*1.3</f>
        <v>1.3</v>
      </c>
      <c r="D176" s="58" t="n">
        <f aca="false">'Product Costs'!H44</f>
        <v>0.371700994331347</v>
      </c>
      <c r="E176" s="59" t="n">
        <f aca="false">B176*D176</f>
        <v>0.371700994331347</v>
      </c>
      <c r="F176" s="59" t="n">
        <f aca="false">C176*D176</f>
        <v>0.483211292630752</v>
      </c>
      <c r="G176" s="60" t="n">
        <f aca="false">E176*Assumptions!$B$5</f>
        <v>50.1796342347319</v>
      </c>
      <c r="H176" s="60" t="n">
        <f aca="false">F176*Assumptions!$B$5</f>
        <v>65.2335245051515</v>
      </c>
    </row>
    <row r="177" customFormat="false" ht="15" hidden="false" customHeight="true" outlineLevel="0" collapsed="false">
      <c r="A177" s="26" t="s">
        <v>429</v>
      </c>
      <c r="B177" s="57" t="n">
        <v>1</v>
      </c>
      <c r="C177" s="57" t="n">
        <f aca="false">B177*1.3</f>
        <v>1.3</v>
      </c>
      <c r="D177" s="58" t="n">
        <f aca="false">'Product Costs'!H45</f>
        <v>0.247800662887565</v>
      </c>
      <c r="E177" s="59" t="n">
        <f aca="false">B177*D177</f>
        <v>0.247800662887565</v>
      </c>
      <c r="F177" s="59" t="n">
        <f aca="false">C177*D177</f>
        <v>0.322140861753834</v>
      </c>
      <c r="G177" s="60" t="n">
        <f aca="false">E177*Assumptions!$B$5</f>
        <v>33.4530894898213</v>
      </c>
      <c r="H177" s="60" t="n">
        <f aca="false">F177*Assumptions!$B$5</f>
        <v>43.4890163367677</v>
      </c>
    </row>
    <row r="178" customFormat="false" ht="15" hidden="false" customHeight="true" outlineLevel="0" collapsed="false">
      <c r="A178" s="26" t="s">
        <v>430</v>
      </c>
      <c r="B178" s="57" t="n">
        <v>1</v>
      </c>
      <c r="C178" s="57" t="n">
        <f aca="false">B178*1.3</f>
        <v>1.3</v>
      </c>
      <c r="D178" s="58" t="n">
        <f aca="false">'Product Costs'!H46</f>
        <v>0.105659449314559</v>
      </c>
      <c r="E178" s="59" t="n">
        <f aca="false">B178*D178</f>
        <v>0.105659449314559</v>
      </c>
      <c r="F178" s="59" t="n">
        <f aca="false">C178*D178</f>
        <v>0.137357284108927</v>
      </c>
      <c r="G178" s="60" t="n">
        <f aca="false">E178*Assumptions!$B$5</f>
        <v>14.2640256574655</v>
      </c>
      <c r="H178" s="60" t="n">
        <f aca="false">F178*Assumptions!$B$5</f>
        <v>18.5432333547051</v>
      </c>
    </row>
    <row r="179" customFormat="false" ht="15" hidden="false" customHeight="true" outlineLevel="0" collapsed="false">
      <c r="A179" s="26" t="s">
        <v>431</v>
      </c>
      <c r="B179" s="57" t="n">
        <v>1</v>
      </c>
      <c r="C179" s="57" t="n">
        <f aca="false">B179*1.3</f>
        <v>1.3</v>
      </c>
      <c r="D179" s="58" t="n">
        <f aca="false">'Product Costs'!H43</f>
        <v>0.289100773368826</v>
      </c>
      <c r="E179" s="59" t="n">
        <f aca="false">B179*D179</f>
        <v>0.289100773368826</v>
      </c>
      <c r="F179" s="59" t="n">
        <f aca="false">C179*D179</f>
        <v>0.375831005379473</v>
      </c>
      <c r="G179" s="60" t="n">
        <f aca="false">E179*Assumptions!$B$5</f>
        <v>39.0286044047915</v>
      </c>
      <c r="H179" s="60" t="n">
        <f aca="false">F179*Assumptions!$B$5</f>
        <v>50.7371857262289</v>
      </c>
    </row>
    <row r="180" customFormat="false" ht="15" hidden="false" customHeight="true" outlineLevel="0" collapsed="false">
      <c r="A180" s="26" t="s">
        <v>432</v>
      </c>
      <c r="B180" s="57" t="n">
        <v>1</v>
      </c>
      <c r="C180" s="57" t="n">
        <f aca="false">B180*1.3</f>
        <v>1.3</v>
      </c>
      <c r="D180" s="58" t="n">
        <f aca="false">'Product Costs'!H69</f>
        <v>0.0454301215293869</v>
      </c>
      <c r="E180" s="59" t="n">
        <f aca="false">B180*D180</f>
        <v>0.0454301215293869</v>
      </c>
      <c r="F180" s="59" t="n">
        <f aca="false">C180*D180</f>
        <v>0.059059157988203</v>
      </c>
      <c r="G180" s="60" t="n">
        <f aca="false">E180*Assumptions!$B$5</f>
        <v>6.13306640646723</v>
      </c>
      <c r="H180" s="60" t="n">
        <f aca="false">F180*Assumptions!$B$5</f>
        <v>7.9729863284074</v>
      </c>
    </row>
    <row r="181" customFormat="false" ht="15" hidden="false" customHeight="true" outlineLevel="0" collapsed="false">
      <c r="A181" s="26" t="s">
        <v>433</v>
      </c>
      <c r="B181" s="57" t="n">
        <v>1</v>
      </c>
      <c r="C181" s="57" t="n">
        <f aca="false">B181*1.3</f>
        <v>1.3</v>
      </c>
      <c r="D181" s="58" t="n">
        <f aca="false">'Product Costs'!H56</f>
        <v>0.0642446163041835</v>
      </c>
      <c r="E181" s="59" t="n">
        <f aca="false">B181*D181</f>
        <v>0.0642446163041835</v>
      </c>
      <c r="F181" s="59" t="n">
        <f aca="false">C181*D181</f>
        <v>0.0835180011954385</v>
      </c>
      <c r="G181" s="60" t="n">
        <f aca="false">E181*Assumptions!$B$5</f>
        <v>8.67302320106477</v>
      </c>
      <c r="H181" s="60" t="n">
        <f aca="false">F181*Assumptions!$B$5</f>
        <v>11.2749301613842</v>
      </c>
    </row>
    <row r="182" customFormat="false" ht="15" hidden="false" customHeight="true" outlineLevel="0" collapsed="false">
      <c r="A182" s="26" t="s">
        <v>434</v>
      </c>
      <c r="B182" s="57" t="n">
        <v>0.4</v>
      </c>
      <c r="C182" s="57" t="n">
        <f aca="false">B182*1.3</f>
        <v>0.52</v>
      </c>
      <c r="D182" s="58" t="n">
        <f aca="false">'Product Costs'!H51</f>
        <v>0.0275334069875072</v>
      </c>
      <c r="E182" s="59" t="n">
        <f aca="false">B182*D182</f>
        <v>0.0110133627950029</v>
      </c>
      <c r="F182" s="59" t="n">
        <f aca="false">C182*D182</f>
        <v>0.0143173716335038</v>
      </c>
      <c r="G182" s="60" t="n">
        <f aca="false">E182*Assumptions!$B$5</f>
        <v>1.48680397732539</v>
      </c>
      <c r="H182" s="60" t="n">
        <f aca="false">F182*Assumptions!$B$5</f>
        <v>1.93284517052301</v>
      </c>
    </row>
    <row r="183" customFormat="false" ht="15" hidden="false" customHeight="true" outlineLevel="0" collapsed="false">
      <c r="A183" s="26" t="s">
        <v>440</v>
      </c>
      <c r="B183" s="57" t="n">
        <v>1</v>
      </c>
      <c r="C183" s="57" t="n">
        <f aca="false">B183*1.3</f>
        <v>1.3</v>
      </c>
      <c r="D183" s="58" t="n">
        <f aca="false">'Product Costs'!H15</f>
        <v>158.317090178166</v>
      </c>
      <c r="E183" s="59" t="n">
        <f aca="false">B183*D183</f>
        <v>158.317090178166</v>
      </c>
      <c r="F183" s="59" t="n">
        <f aca="false">C183*D183</f>
        <v>205.812217231616</v>
      </c>
      <c r="G183" s="60" t="n">
        <f aca="false">E183*Assumptions!$B$5</f>
        <v>21372.8071740525</v>
      </c>
      <c r="H183" s="60" t="n">
        <f aca="false">F183*Assumptions!$B$5</f>
        <v>27784.6493262682</v>
      </c>
    </row>
    <row r="184" customFormat="false" ht="15" hidden="false" customHeight="true" outlineLevel="0" collapsed="false">
      <c r="A184" s="26" t="s">
        <v>441</v>
      </c>
      <c r="B184" s="57" t="n">
        <v>1</v>
      </c>
      <c r="C184" s="57" t="n">
        <f aca="false">B184*1.3</f>
        <v>1.3</v>
      </c>
      <c r="D184" s="58" t="n">
        <f aca="false">'Product Costs'!H52</f>
        <v>0.0413001104812608</v>
      </c>
      <c r="E184" s="59" t="n">
        <f aca="false">B184*D184</f>
        <v>0.0413001104812608</v>
      </c>
      <c r="F184" s="59" t="n">
        <f aca="false">C184*D184</f>
        <v>0.0536901436256391</v>
      </c>
      <c r="G184" s="60" t="n">
        <f aca="false">E184*Assumptions!$B$5</f>
        <v>5.57551491497021</v>
      </c>
      <c r="H184" s="60" t="n">
        <f aca="false">F184*Assumptions!$B$5</f>
        <v>7.24816938946128</v>
      </c>
    </row>
    <row r="185" customFormat="false" ht="15" hidden="false" customHeight="true" outlineLevel="0" collapsed="false">
      <c r="A185" s="26" t="s">
        <v>442</v>
      </c>
      <c r="B185" s="57" t="n">
        <v>1</v>
      </c>
      <c r="C185" s="57" t="n">
        <f aca="false">B185*1.3</f>
        <v>1.3</v>
      </c>
      <c r="D185" s="58" t="n">
        <f aca="false">'Product Costs'!H65</f>
        <v>0.413001104812608</v>
      </c>
      <c r="E185" s="59" t="n">
        <f aca="false">B185*D185</f>
        <v>0.413001104812608</v>
      </c>
      <c r="F185" s="59" t="n">
        <f aca="false">C185*D185</f>
        <v>0.536901436256391</v>
      </c>
      <c r="G185" s="60" t="n">
        <f aca="false">E185*Assumptions!$B$5</f>
        <v>55.7551491497021</v>
      </c>
      <c r="H185" s="60" t="n">
        <f aca="false">F185*Assumptions!$B$5</f>
        <v>72.4816938946127</v>
      </c>
    </row>
    <row r="186" customFormat="false" ht="15" hidden="false" customHeight="true" outlineLevel="0" collapsed="false">
      <c r="A186" s="26" t="s">
        <v>443</v>
      </c>
      <c r="B186" s="57" t="n">
        <v>1</v>
      </c>
      <c r="C186" s="57" t="n">
        <f aca="false">B186*1.3</f>
        <v>1.3</v>
      </c>
      <c r="D186" s="58" t="n">
        <f aca="false">'Product Costs'!H63</f>
        <v>0.137667034937536</v>
      </c>
      <c r="E186" s="59" t="n">
        <f aca="false">B186*D186</f>
        <v>0.137667034937536</v>
      </c>
      <c r="F186" s="59" t="n">
        <f aca="false">C186*D186</f>
        <v>0.178967145418797</v>
      </c>
      <c r="G186" s="60" t="n">
        <f aca="false">E186*Assumptions!$B$5</f>
        <v>18.5850497165674</v>
      </c>
      <c r="H186" s="60" t="n">
        <f aca="false">F186*Assumptions!$B$5</f>
        <v>24.1605646315376</v>
      </c>
    </row>
    <row r="187" customFormat="false" ht="15" hidden="false" customHeight="true" outlineLevel="0" collapsed="false">
      <c r="A187" s="26" t="s">
        <v>444</v>
      </c>
      <c r="B187" s="57" t="n">
        <v>1</v>
      </c>
      <c r="C187" s="57" t="n">
        <f aca="false">B187*1.3</f>
        <v>1.3</v>
      </c>
      <c r="D187" s="58" t="n">
        <f aca="false">'Product Costs'!H64</f>
        <v>0.826002209625216</v>
      </c>
      <c r="E187" s="59" t="n">
        <f aca="false">B187*D187</f>
        <v>0.826002209625216</v>
      </c>
      <c r="F187" s="59" t="n">
        <f aca="false">C187*D187</f>
        <v>1.07380287251278</v>
      </c>
      <c r="G187" s="60" t="n">
        <f aca="false">E187*Assumptions!$B$5</f>
        <v>111.510298299404</v>
      </c>
      <c r="H187" s="60" t="n">
        <f aca="false">F187*Assumptions!$B$5</f>
        <v>144.963387789225</v>
      </c>
    </row>
    <row r="188" customFormat="false" ht="15" hidden="false" customHeight="true" outlineLevel="0" collapsed="false">
      <c r="A188" s="26" t="s">
        <v>445</v>
      </c>
      <c r="B188" s="57" t="n">
        <v>1</v>
      </c>
      <c r="C188" s="57" t="n">
        <f aca="false">B188*1.3</f>
        <v>1.3</v>
      </c>
      <c r="D188" s="58" t="n">
        <f aca="false">'Product Costs'!H17</f>
        <v>22.3708931773496</v>
      </c>
      <c r="E188" s="59" t="n">
        <f aca="false">B188*D188</f>
        <v>22.3708931773496</v>
      </c>
      <c r="F188" s="59" t="n">
        <f aca="false">C188*D188</f>
        <v>29.0821611305545</v>
      </c>
      <c r="G188" s="60" t="n">
        <f aca="false">E188*Assumptions!$B$5</f>
        <v>3020.0705789422</v>
      </c>
      <c r="H188" s="60" t="n">
        <f aca="false">F188*Assumptions!$B$5</f>
        <v>3926.09175262486</v>
      </c>
    </row>
    <row r="189" customFormat="false" ht="15" hidden="false" customHeight="true" outlineLevel="0" collapsed="false">
      <c r="A189" s="26" t="s">
        <v>435</v>
      </c>
      <c r="B189" s="57" t="n">
        <v>1</v>
      </c>
      <c r="C189" s="57" t="n">
        <f aca="false">B189*1.3</f>
        <v>1.3</v>
      </c>
      <c r="D189" s="58" t="n">
        <f aca="false">'Product Costs'!H13</f>
        <v>0.475426697231731</v>
      </c>
      <c r="E189" s="59" t="n">
        <f aca="false">B189*D189</f>
        <v>0.475426697231731</v>
      </c>
      <c r="F189" s="59" t="n">
        <f aca="false">C189*D189</f>
        <v>0.618054706401251</v>
      </c>
      <c r="G189" s="60" t="n">
        <f aca="false">E189*Assumptions!$B$5</f>
        <v>64.1826041262837</v>
      </c>
      <c r="H189" s="60" t="n">
        <f aca="false">F189*Assumptions!$B$5</f>
        <v>83.4373853641688</v>
      </c>
    </row>
    <row r="190" customFormat="false" ht="15" hidden="false" customHeight="true" outlineLevel="0" collapsed="false">
      <c r="A190" s="61" t="s">
        <v>386</v>
      </c>
      <c r="B190" s="62"/>
      <c r="C190" s="62"/>
      <c r="D190" s="62"/>
      <c r="E190" s="63" t="n">
        <f aca="false">SUM(E134:E189)</f>
        <v>209.241719346548</v>
      </c>
      <c r="F190" s="63" t="n">
        <f aca="false">SUM(F134:F189)</f>
        <v>272.014235150512</v>
      </c>
      <c r="G190" s="64" t="n">
        <f aca="false">E190*Assumptions!$B$5</f>
        <v>28247.6321117839</v>
      </c>
      <c r="H190" s="64" t="n">
        <f aca="false">F190*Assumptions!$B$5</f>
        <v>36721.9217453191</v>
      </c>
    </row>
    <row r="191" customFormat="false" ht="15" hidden="false" customHeight="true" outlineLevel="0" collapsed="false">
      <c r="A191" s="26" t="s">
        <v>436</v>
      </c>
      <c r="E191" s="65" t="n">
        <f aca="false">E190*0.25</f>
        <v>52.3104298366369</v>
      </c>
      <c r="F191" s="65" t="n">
        <f aca="false">F190*0.25</f>
        <v>68.003558787628</v>
      </c>
      <c r="G191" s="28" t="n">
        <f aca="false">E191*Assumptions!$B$5</f>
        <v>7061.90802794599</v>
      </c>
      <c r="H191" s="28" t="n">
        <f aca="false">F191*Assumptions!$B$5</f>
        <v>9180.48043632978</v>
      </c>
    </row>
    <row r="192" customFormat="false" ht="15" hidden="false" customHeight="true" outlineLevel="0" collapsed="false">
      <c r="A192" s="61" t="s">
        <v>388</v>
      </c>
      <c r="B192" s="62"/>
      <c r="C192" s="62"/>
      <c r="D192" s="62"/>
      <c r="E192" s="63" t="n">
        <f aca="false">E190+E191</f>
        <v>261.552149183185</v>
      </c>
      <c r="F192" s="63" t="n">
        <f aca="false">F190+F191</f>
        <v>340.01779393814</v>
      </c>
      <c r="G192" s="64" t="n">
        <f aca="false">E192*Assumptions!$B$5</f>
        <v>35309.5401397299</v>
      </c>
      <c r="H192" s="64" t="n">
        <f aca="false">F192*Assumptions!$B$5</f>
        <v>45902.4021816489</v>
      </c>
    </row>
    <row r="193" customFormat="false" ht="15" hidden="false" customHeight="true" outlineLevel="0" collapsed="false">
      <c r="A193" s="66" t="s">
        <v>389</v>
      </c>
      <c r="B193" s="67"/>
      <c r="C193" s="67"/>
      <c r="D193" s="67"/>
      <c r="E193" s="68" t="n">
        <f aca="false">G193/Assumptions!$B$5</f>
        <v>666.666666666667</v>
      </c>
      <c r="F193" s="68" t="n">
        <f aca="false">H193/Assumptions!$B$5</f>
        <v>814.814814814815</v>
      </c>
      <c r="G193" s="69" t="n">
        <v>90000</v>
      </c>
      <c r="H193" s="69" t="n">
        <v>110000</v>
      </c>
    </row>
    <row r="194" customFormat="false" ht="15" hidden="false" customHeight="true" outlineLevel="0" collapsed="false">
      <c r="A194" s="61" t="s">
        <v>390</v>
      </c>
      <c r="B194" s="62"/>
      <c r="C194" s="62"/>
      <c r="D194" s="62"/>
      <c r="E194" s="63" t="n">
        <f aca="false">E193-E192</f>
        <v>405.114517483482</v>
      </c>
      <c r="F194" s="63" t="n">
        <f aca="false">F193-F192</f>
        <v>474.797020876675</v>
      </c>
      <c r="G194" s="64" t="n">
        <f aca="false">G193-G192</f>
        <v>54690.4598602701</v>
      </c>
      <c r="H194" s="64" t="n">
        <f aca="false">H193-H192</f>
        <v>64097.5978183511</v>
      </c>
    </row>
    <row r="195" customFormat="false" ht="15" hidden="false" customHeight="true" outlineLevel="0" collapsed="false">
      <c r="A195" s="61" t="s">
        <v>391</v>
      </c>
      <c r="B195" s="62"/>
      <c r="C195" s="62"/>
      <c r="D195" s="62"/>
      <c r="E195" s="62"/>
      <c r="F195" s="62"/>
      <c r="G195" s="70" t="n">
        <f aca="false">G194/G193</f>
        <v>0.607671776225223</v>
      </c>
      <c r="H195" s="70" t="n">
        <f aca="false">H194/H193</f>
        <v>0.582705434712283</v>
      </c>
    </row>
    <row r="197" customFormat="false" ht="15" hidden="false" customHeight="true" outlineLevel="0" collapsed="false">
      <c r="A197" s="22" t="s">
        <v>446</v>
      </c>
      <c r="B197" s="55" t="s">
        <v>447</v>
      </c>
      <c r="C197" s="23"/>
      <c r="D197" s="23"/>
      <c r="E197" s="23"/>
      <c r="F197" s="23"/>
      <c r="G197" s="23"/>
      <c r="H197" s="23"/>
    </row>
    <row r="198" customFormat="false" ht="195" hidden="false" customHeight="true" outlineLevel="0" collapsed="false">
      <c r="A198" s="26" t="s">
        <v>361</v>
      </c>
      <c r="B198" s="56" t="s">
        <v>448</v>
      </c>
      <c r="C198" s="56"/>
      <c r="D198" s="56"/>
      <c r="E198" s="56"/>
      <c r="F198" s="56"/>
      <c r="G198" s="56"/>
      <c r="H198" s="56"/>
    </row>
    <row r="199" customFormat="false" ht="23.25" hidden="false" customHeight="true" outlineLevel="0" collapsed="false">
      <c r="A199" s="24" t="s">
        <v>363</v>
      </c>
      <c r="B199" s="25" t="s">
        <v>364</v>
      </c>
      <c r="C199" s="25" t="s">
        <v>365</v>
      </c>
      <c r="D199" s="25" t="s">
        <v>366</v>
      </c>
      <c r="E199" s="25" t="s">
        <v>367</v>
      </c>
      <c r="F199" s="25" t="s">
        <v>368</v>
      </c>
      <c r="G199" s="25" t="s">
        <v>369</v>
      </c>
      <c r="H199" s="25" t="s">
        <v>370</v>
      </c>
    </row>
    <row r="200" customFormat="false" ht="15" hidden="false" customHeight="true" outlineLevel="0" collapsed="false">
      <c r="A200" s="26" t="s">
        <v>373</v>
      </c>
      <c r="B200" s="57" t="n">
        <v>1</v>
      </c>
      <c r="C200" s="57" t="n">
        <f aca="false">B200*1.3</f>
        <v>1.3</v>
      </c>
      <c r="D200" s="58" t="n">
        <f aca="false">'Product Costs'!H10</f>
        <v>0.917780232916907</v>
      </c>
      <c r="E200" s="59" t="n">
        <f aca="false">B200*D200</f>
        <v>0.917780232916907</v>
      </c>
      <c r="F200" s="59" t="n">
        <f aca="false">C200*D200</f>
        <v>1.19311430279198</v>
      </c>
      <c r="G200" s="60" t="n">
        <f aca="false">E200*Assumptions!$B$5</f>
        <v>123.900331443782</v>
      </c>
      <c r="H200" s="60" t="n">
        <f aca="false">F200*Assumptions!$B$5</f>
        <v>161.070430876917</v>
      </c>
    </row>
    <row r="201" customFormat="false" ht="15" hidden="false" customHeight="true" outlineLevel="0" collapsed="false">
      <c r="A201" s="26" t="s">
        <v>374</v>
      </c>
      <c r="B201" s="57" t="n">
        <v>1</v>
      </c>
      <c r="C201" s="57" t="n">
        <f aca="false">B201*1.3</f>
        <v>1.3</v>
      </c>
      <c r="D201" s="58" t="n">
        <f aca="false">'Product Costs'!H20</f>
        <v>0.206500552406304</v>
      </c>
      <c r="E201" s="59" t="n">
        <f aca="false">B201*D201</f>
        <v>0.206500552406304</v>
      </c>
      <c r="F201" s="59" t="n">
        <f aca="false">C201*D201</f>
        <v>0.268450718128195</v>
      </c>
      <c r="G201" s="60" t="n">
        <f aca="false">E201*Assumptions!$B$5</f>
        <v>27.8775745748511</v>
      </c>
      <c r="H201" s="60" t="n">
        <f aca="false">F201*Assumptions!$B$5</f>
        <v>36.2408469473064</v>
      </c>
    </row>
    <row r="202" customFormat="false" ht="15" hidden="false" customHeight="true" outlineLevel="0" collapsed="false">
      <c r="A202" s="26" t="s">
        <v>375</v>
      </c>
      <c r="B202" s="57" t="n">
        <v>1</v>
      </c>
      <c r="C202" s="57" t="n">
        <f aca="false">B202*1.3</f>
        <v>1.3</v>
      </c>
      <c r="D202" s="58" t="n">
        <f aca="false">'Product Costs'!H19</f>
        <v>0.289100773368826</v>
      </c>
      <c r="E202" s="59" t="n">
        <f aca="false">B202*D202</f>
        <v>0.289100773368826</v>
      </c>
      <c r="F202" s="59" t="n">
        <f aca="false">C202*D202</f>
        <v>0.375831005379474</v>
      </c>
      <c r="G202" s="60" t="n">
        <f aca="false">E202*Assumptions!$B$5</f>
        <v>39.0286044047915</v>
      </c>
      <c r="H202" s="60" t="n">
        <f aca="false">F202*Assumptions!$B$5</f>
        <v>50.7371857262289</v>
      </c>
    </row>
    <row r="203" customFormat="false" ht="15" hidden="false" customHeight="true" outlineLevel="0" collapsed="false">
      <c r="A203" s="26" t="s">
        <v>376</v>
      </c>
      <c r="B203" s="57" t="n">
        <v>1</v>
      </c>
      <c r="C203" s="57" t="n">
        <f aca="false">B203*1.3</f>
        <v>1.3</v>
      </c>
      <c r="D203" s="58" t="n">
        <f aca="false">'Product Costs'!H18</f>
        <v>0.68833517468768</v>
      </c>
      <c r="E203" s="59" t="n">
        <f aca="false">B203*D203</f>
        <v>0.68833517468768</v>
      </c>
      <c r="F203" s="59" t="n">
        <f aca="false">C203*D203</f>
        <v>0.894835727093985</v>
      </c>
      <c r="G203" s="60" t="n">
        <f aca="false">E203*Assumptions!$B$5</f>
        <v>92.9252485828368</v>
      </c>
      <c r="H203" s="60" t="n">
        <f aca="false">F203*Assumptions!$B$5</f>
        <v>120.802823157688</v>
      </c>
    </row>
    <row r="204" customFormat="false" ht="15" hidden="false" customHeight="true" outlineLevel="0" collapsed="false">
      <c r="A204" s="26" t="s">
        <v>377</v>
      </c>
      <c r="B204" s="57" t="n">
        <v>1</v>
      </c>
      <c r="C204" s="57" t="n">
        <f aca="false">B204*1.3</f>
        <v>1.3</v>
      </c>
      <c r="D204" s="58" t="n">
        <f aca="false">'Product Costs'!H36</f>
        <v>0.385467697825101</v>
      </c>
      <c r="E204" s="59" t="n">
        <f aca="false">B204*D204</f>
        <v>0.385467697825101</v>
      </c>
      <c r="F204" s="59" t="n">
        <f aca="false">C204*D204</f>
        <v>0.501108007172631</v>
      </c>
      <c r="G204" s="60" t="n">
        <f aca="false">E204*Assumptions!$B$5</f>
        <v>52.0381392063886</v>
      </c>
      <c r="H204" s="60" t="n">
        <f aca="false">F204*Assumptions!$B$5</f>
        <v>67.6495809683052</v>
      </c>
    </row>
    <row r="205" customFormat="false" ht="15" hidden="false" customHeight="true" outlineLevel="0" collapsed="false">
      <c r="A205" s="26" t="s">
        <v>378</v>
      </c>
      <c r="B205" s="57" t="n">
        <v>1</v>
      </c>
      <c r="C205" s="57" t="n">
        <f aca="false">B205*1.3</f>
        <v>1.3</v>
      </c>
      <c r="D205" s="58" t="n">
        <f aca="false">'Product Costs'!H24</f>
        <v>0.715868581675188</v>
      </c>
      <c r="E205" s="59" t="n">
        <f aca="false">B205*D205</f>
        <v>0.715868581675188</v>
      </c>
      <c r="F205" s="59" t="n">
        <f aca="false">C205*D205</f>
        <v>0.930629156177744</v>
      </c>
      <c r="G205" s="60" t="n">
        <f aca="false">E205*Assumptions!$B$5</f>
        <v>96.6422585261503</v>
      </c>
      <c r="H205" s="60" t="n">
        <f aca="false">F205*Assumptions!$B$5</f>
        <v>125.634936083995</v>
      </c>
    </row>
    <row r="206" customFormat="false" ht="15" hidden="false" customHeight="true" outlineLevel="0" collapsed="false">
      <c r="A206" s="26" t="s">
        <v>379</v>
      </c>
      <c r="B206" s="57" t="n">
        <v>0.5</v>
      </c>
      <c r="C206" s="57" t="n">
        <f aca="false">B206*1.3</f>
        <v>0.65</v>
      </c>
      <c r="D206" s="58" t="n">
        <f aca="false">'Product Costs'!H22</f>
        <v>0.313499188471617</v>
      </c>
      <c r="E206" s="59" t="n">
        <f aca="false">B206*D206</f>
        <v>0.156749594235808</v>
      </c>
      <c r="F206" s="59" t="n">
        <f aca="false">C206*D206</f>
        <v>0.203774472506551</v>
      </c>
      <c r="G206" s="60" t="n">
        <f aca="false">E206*Assumptions!$B$5</f>
        <v>21.1611952218341</v>
      </c>
      <c r="H206" s="60" t="n">
        <f aca="false">F206*Assumptions!$B$5</f>
        <v>27.5095537883844</v>
      </c>
    </row>
    <row r="207" customFormat="false" ht="15" hidden="false" customHeight="true" outlineLevel="0" collapsed="false">
      <c r="A207" s="26" t="s">
        <v>380</v>
      </c>
      <c r="B207" s="57" t="n">
        <v>0.6</v>
      </c>
      <c r="C207" s="57" t="n">
        <f aca="false">B207*1.3</f>
        <v>0.78</v>
      </c>
      <c r="D207" s="58" t="n">
        <f aca="false">'Product Costs'!H49</f>
        <v>0.0275334069875072</v>
      </c>
      <c r="E207" s="59" t="n">
        <f aca="false">B207*D207</f>
        <v>0.0165200441925043</v>
      </c>
      <c r="F207" s="59" t="n">
        <f aca="false">C207*D207</f>
        <v>0.0214760574502556</v>
      </c>
      <c r="G207" s="60" t="n">
        <f aca="false">E207*Assumptions!$B$5</f>
        <v>2.23020596598808</v>
      </c>
      <c r="H207" s="60" t="n">
        <f aca="false">F207*Assumptions!$B$5</f>
        <v>2.89926775578451</v>
      </c>
    </row>
    <row r="208" customFormat="false" ht="15" hidden="false" customHeight="true" outlineLevel="0" collapsed="false">
      <c r="A208" s="26" t="s">
        <v>381</v>
      </c>
      <c r="B208" s="57" t="n">
        <v>0.2</v>
      </c>
      <c r="C208" s="57" t="n">
        <f aca="false">B208*1.3</f>
        <v>0.26</v>
      </c>
      <c r="D208" s="58" t="n">
        <f aca="false">'Product Costs'!H50</f>
        <v>0.019273384891255</v>
      </c>
      <c r="E208" s="59" t="n">
        <f aca="false">B208*D208</f>
        <v>0.00385467697825101</v>
      </c>
      <c r="F208" s="59" t="n">
        <f aca="false">C208*D208</f>
        <v>0.00501108007172631</v>
      </c>
      <c r="G208" s="60" t="n">
        <f aca="false">E208*Assumptions!$B$5</f>
        <v>0.520381392063886</v>
      </c>
      <c r="H208" s="60" t="n">
        <f aca="false">F208*Assumptions!$B$5</f>
        <v>0.676495809683052</v>
      </c>
    </row>
    <row r="209" customFormat="false" ht="15" hidden="false" customHeight="true" outlineLevel="0" collapsed="false">
      <c r="A209" s="26" t="s">
        <v>382</v>
      </c>
      <c r="B209" s="57" t="n">
        <v>0.3</v>
      </c>
      <c r="C209" s="57" t="n">
        <f aca="false">B209*1.3</f>
        <v>0.39</v>
      </c>
      <c r="D209" s="58" t="n">
        <f aca="false">'Product Costs'!H47</f>
        <v>0.0413001104812608</v>
      </c>
      <c r="E209" s="59" t="n">
        <f aca="false">B209*D209</f>
        <v>0.0123900331443782</v>
      </c>
      <c r="F209" s="59" t="n">
        <f aca="false">C209*D209</f>
        <v>0.0161070430876917</v>
      </c>
      <c r="G209" s="60" t="n">
        <f aca="false">E209*Assumptions!$B$5</f>
        <v>1.67265447449106</v>
      </c>
      <c r="H209" s="60" t="n">
        <f aca="false">F209*Assumptions!$B$5</f>
        <v>2.17445081683838</v>
      </c>
    </row>
    <row r="210" customFormat="false" ht="15" hidden="false" customHeight="true" outlineLevel="0" collapsed="false">
      <c r="A210" s="26" t="s">
        <v>383</v>
      </c>
      <c r="B210" s="57" t="n">
        <v>0.2</v>
      </c>
      <c r="C210" s="57" t="n">
        <f aca="false">B210*1.3</f>
        <v>0.26</v>
      </c>
      <c r="D210" s="58" t="n">
        <f aca="false">'Product Costs'!H48</f>
        <v>0.068833517468768</v>
      </c>
      <c r="E210" s="59" t="n">
        <f aca="false">B210*D210</f>
        <v>0.0137667034937536</v>
      </c>
      <c r="F210" s="59" t="n">
        <f aca="false">C210*D210</f>
        <v>0.0178967145418797</v>
      </c>
      <c r="G210" s="60" t="n">
        <f aca="false">E210*Assumptions!$B$5</f>
        <v>1.85850497165674</v>
      </c>
      <c r="H210" s="60" t="n">
        <f aca="false">F210*Assumptions!$B$5</f>
        <v>2.41605646315376</v>
      </c>
    </row>
    <row r="211" customFormat="false" ht="15" hidden="false" customHeight="true" outlineLevel="0" collapsed="false">
      <c r="A211" s="26" t="s">
        <v>384</v>
      </c>
      <c r="B211" s="57" t="n">
        <v>0.3</v>
      </c>
      <c r="C211" s="57" t="n">
        <f aca="false">B211*1.3</f>
        <v>0.39</v>
      </c>
      <c r="D211" s="58" t="n">
        <f aca="false">'Product Costs'!H66</f>
        <v>0.0183556046583381</v>
      </c>
      <c r="E211" s="59" t="n">
        <f aca="false">B211*D211</f>
        <v>0.00550668139750144</v>
      </c>
      <c r="F211" s="59" t="n">
        <f aca="false">C211*D211</f>
        <v>0.00715868581675188</v>
      </c>
      <c r="G211" s="60" t="n">
        <f aca="false">E211*Assumptions!$B$5</f>
        <v>0.743401988662695</v>
      </c>
      <c r="H211" s="60" t="n">
        <f aca="false">F211*Assumptions!$B$5</f>
        <v>0.966422585261503</v>
      </c>
    </row>
    <row r="212" customFormat="false" ht="15" hidden="false" customHeight="true" outlineLevel="0" collapsed="false">
      <c r="A212" s="26" t="s">
        <v>395</v>
      </c>
      <c r="B212" s="57" t="n">
        <v>2.1</v>
      </c>
      <c r="C212" s="57" t="n">
        <f aca="false">B212*1.3</f>
        <v>2.73</v>
      </c>
      <c r="D212" s="58" t="n">
        <f aca="false">'Product Costs'!H21</f>
        <v>0.41403619530086</v>
      </c>
      <c r="E212" s="59" t="n">
        <f aca="false">B212*D212</f>
        <v>0.869476010131807</v>
      </c>
      <c r="F212" s="59" t="n">
        <f aca="false">C212*D212</f>
        <v>1.13031881317135</v>
      </c>
      <c r="G212" s="60" t="n">
        <f aca="false">E212*Assumptions!$B$5</f>
        <v>117.379261367794</v>
      </c>
      <c r="H212" s="60" t="n">
        <f aca="false">F212*Assumptions!$B$5</f>
        <v>152.593039778132</v>
      </c>
    </row>
    <row r="213" customFormat="false" ht="15" hidden="false" customHeight="true" outlineLevel="0" collapsed="false">
      <c r="A213" s="26" t="s">
        <v>396</v>
      </c>
      <c r="B213" s="57" t="n">
        <v>1</v>
      </c>
      <c r="C213" s="57" t="n">
        <f aca="false">B213*1.3</f>
        <v>1.3</v>
      </c>
      <c r="D213" s="58" t="n">
        <f aca="false">'Product Costs'!H23</f>
        <v>0.337284235596963</v>
      </c>
      <c r="E213" s="59" t="n">
        <f aca="false">B213*D213</f>
        <v>0.337284235596963</v>
      </c>
      <c r="F213" s="59" t="n">
        <f aca="false">C213*D213</f>
        <v>0.438469506276052</v>
      </c>
      <c r="G213" s="60" t="n">
        <f aca="false">E213*Assumptions!$B$5</f>
        <v>45.5333718055901</v>
      </c>
      <c r="H213" s="60" t="n">
        <f aca="false">F213*Assumptions!$B$5</f>
        <v>59.1933833472671</v>
      </c>
    </row>
    <row r="214" customFormat="false" ht="15" hidden="false" customHeight="true" outlineLevel="0" collapsed="false">
      <c r="A214" s="26" t="s">
        <v>397</v>
      </c>
      <c r="B214" s="57" t="n">
        <v>1</v>
      </c>
      <c r="C214" s="57" t="n">
        <f aca="false">B214*1.3</f>
        <v>1.3</v>
      </c>
      <c r="D214" s="58" t="n">
        <f aca="false">'Product Costs'!H33</f>
        <v>2.25273329897786</v>
      </c>
      <c r="E214" s="59" t="n">
        <f aca="false">B214*D214</f>
        <v>2.25273329897786</v>
      </c>
      <c r="F214" s="59" t="n">
        <f aca="false">C214*D214</f>
        <v>2.92855328867122</v>
      </c>
      <c r="G214" s="60" t="n">
        <f aca="false">E214*Assumptions!$B$5</f>
        <v>304.118995362012</v>
      </c>
      <c r="H214" s="60" t="n">
        <f aca="false">F214*Assumptions!$B$5</f>
        <v>395.354693970615</v>
      </c>
    </row>
    <row r="215" customFormat="false" ht="15" hidden="false" customHeight="true" outlineLevel="0" collapsed="false">
      <c r="A215" s="26" t="s">
        <v>398</v>
      </c>
      <c r="B215" s="57" t="n">
        <v>1</v>
      </c>
      <c r="C215" s="57" t="n">
        <f aca="false">B215*1.3</f>
        <v>1.3</v>
      </c>
      <c r="D215" s="58" t="n">
        <f aca="false">'Product Costs'!H6</f>
        <v>0.165365807732776</v>
      </c>
      <c r="E215" s="59" t="n">
        <f aca="false">B215*D215</f>
        <v>0.165365807732776</v>
      </c>
      <c r="F215" s="59" t="n">
        <f aca="false">C215*D215</f>
        <v>0.214975550052609</v>
      </c>
      <c r="G215" s="60" t="n">
        <f aca="false">E215*Assumptions!$B$5</f>
        <v>22.3243840439248</v>
      </c>
      <c r="H215" s="60" t="n">
        <f aca="false">F215*Assumptions!$B$5</f>
        <v>29.0216992571022</v>
      </c>
    </row>
    <row r="216" customFormat="false" ht="15" hidden="false" customHeight="true" outlineLevel="0" collapsed="false">
      <c r="A216" s="26" t="s">
        <v>399</v>
      </c>
      <c r="B216" s="57" t="n">
        <v>1</v>
      </c>
      <c r="C216" s="57" t="n">
        <f aca="false">B216*1.3</f>
        <v>1.3</v>
      </c>
      <c r="D216" s="58" t="n">
        <f aca="false">'Product Costs'!H71</f>
        <v>0.724563341776506</v>
      </c>
      <c r="E216" s="59" t="n">
        <f aca="false">B216*D216</f>
        <v>0.724563341776506</v>
      </c>
      <c r="F216" s="59" t="n">
        <f aca="false">C216*D216</f>
        <v>0.941932344309457</v>
      </c>
      <c r="G216" s="60" t="n">
        <f aca="false">E216*Assumptions!$B$5</f>
        <v>97.8160511398283</v>
      </c>
      <c r="H216" s="60" t="n">
        <f aca="false">F216*Assumptions!$B$5</f>
        <v>127.160866481777</v>
      </c>
    </row>
    <row r="217" customFormat="false" ht="15" hidden="false" customHeight="true" outlineLevel="0" collapsed="false">
      <c r="A217" s="26" t="s">
        <v>400</v>
      </c>
      <c r="B217" s="57" t="n">
        <v>1</v>
      </c>
      <c r="C217" s="57" t="n">
        <f aca="false">B217*1.3</f>
        <v>1.3</v>
      </c>
      <c r="D217" s="58" t="n">
        <f aca="false">'Product Costs'!H32</f>
        <v>0.349304417005689</v>
      </c>
      <c r="E217" s="59" t="n">
        <f aca="false">B217*D217</f>
        <v>0.349304417005689</v>
      </c>
      <c r="F217" s="59" t="n">
        <f aca="false">C217*D217</f>
        <v>0.454095742107395</v>
      </c>
      <c r="G217" s="60" t="n">
        <f aca="false">E217*Assumptions!$B$5</f>
        <v>47.156096295768</v>
      </c>
      <c r="H217" s="60" t="n">
        <f aca="false">F217*Assumptions!$B$5</f>
        <v>61.3029251844983</v>
      </c>
    </row>
    <row r="218" customFormat="false" ht="15" hidden="false" customHeight="true" outlineLevel="0" collapsed="false">
      <c r="A218" s="26" t="s">
        <v>415</v>
      </c>
      <c r="B218" s="57" t="n">
        <v>1</v>
      </c>
      <c r="C218" s="57" t="n">
        <f aca="false">B218*1.3</f>
        <v>1.3</v>
      </c>
      <c r="D218" s="58" t="n">
        <f aca="false">'Product Costs'!H31</f>
        <v>1.32160353540035</v>
      </c>
      <c r="E218" s="59" t="n">
        <f aca="false">B218*D218</f>
        <v>1.32160353540035</v>
      </c>
      <c r="F218" s="59" t="n">
        <f aca="false">C218*D218</f>
        <v>1.71808459602045</v>
      </c>
      <c r="G218" s="60" t="n">
        <f aca="false">E218*Assumptions!$B$5</f>
        <v>178.416477279047</v>
      </c>
      <c r="H218" s="60" t="n">
        <f aca="false">F218*Assumptions!$B$5</f>
        <v>231.941420462761</v>
      </c>
    </row>
    <row r="219" customFormat="false" ht="15" hidden="false" customHeight="true" outlineLevel="0" collapsed="false">
      <c r="A219" s="26" t="s">
        <v>401</v>
      </c>
      <c r="B219" s="57" t="n">
        <v>1</v>
      </c>
      <c r="C219" s="57" t="n">
        <f aca="false">B219*1.3</f>
        <v>1.3</v>
      </c>
      <c r="D219" s="58" t="n">
        <f aca="false">'Product Costs'!H11</f>
        <v>0.159693760527542</v>
      </c>
      <c r="E219" s="59" t="n">
        <f aca="false">B219*D219</f>
        <v>0.159693760527542</v>
      </c>
      <c r="F219" s="59" t="n">
        <f aca="false">C219*D219</f>
        <v>0.207601888685804</v>
      </c>
      <c r="G219" s="60" t="n">
        <f aca="false">E219*Assumptions!$B$5</f>
        <v>21.5586576712181</v>
      </c>
      <c r="H219" s="60" t="n">
        <f aca="false">F219*Assumptions!$B$5</f>
        <v>28.0262549725836</v>
      </c>
    </row>
    <row r="220" customFormat="false" ht="15" hidden="false" customHeight="true" outlineLevel="0" collapsed="false">
      <c r="A220" s="26" t="s">
        <v>402</v>
      </c>
      <c r="B220" s="57" t="n">
        <v>0.2</v>
      </c>
      <c r="C220" s="57" t="n">
        <f aca="false">B220*1.3</f>
        <v>0.26</v>
      </c>
      <c r="D220" s="58" t="n">
        <f aca="false">'Product Costs'!H53</f>
        <v>0.137667034937536</v>
      </c>
      <c r="E220" s="59" t="n">
        <f aca="false">B220*D220</f>
        <v>0.0275334069875072</v>
      </c>
      <c r="F220" s="59" t="n">
        <f aca="false">C220*D220</f>
        <v>0.0357934290837594</v>
      </c>
      <c r="G220" s="60" t="n">
        <f aca="false">E220*Assumptions!$B$5</f>
        <v>3.71700994331347</v>
      </c>
      <c r="H220" s="60" t="n">
        <f aca="false">F220*Assumptions!$B$5</f>
        <v>4.83211292630752</v>
      </c>
    </row>
    <row r="221" customFormat="false" ht="15" hidden="false" customHeight="true" outlineLevel="0" collapsed="false">
      <c r="A221" s="26" t="s">
        <v>403</v>
      </c>
      <c r="B221" s="57" t="n">
        <v>1.5</v>
      </c>
      <c r="C221" s="57" t="n">
        <f aca="false">B221*1.3</f>
        <v>1.95</v>
      </c>
      <c r="D221" s="58" t="n">
        <f aca="false">'Product Costs'!H57</f>
        <v>0.0504779128104299</v>
      </c>
      <c r="E221" s="59" t="n">
        <f aca="false">B221*D221</f>
        <v>0.0757168692156448</v>
      </c>
      <c r="F221" s="59" t="n">
        <f aca="false">C221*D221</f>
        <v>0.0984319299803383</v>
      </c>
      <c r="G221" s="60" t="n">
        <f aca="false">E221*Assumptions!$B$5</f>
        <v>10.2217773441121</v>
      </c>
      <c r="H221" s="60" t="n">
        <f aca="false">F221*Assumptions!$B$5</f>
        <v>13.2883105473457</v>
      </c>
    </row>
    <row r="222" customFormat="false" ht="15" hidden="false" customHeight="true" outlineLevel="0" collapsed="false">
      <c r="A222" s="26" t="s">
        <v>404</v>
      </c>
      <c r="B222" s="57" t="n">
        <v>1.5</v>
      </c>
      <c r="C222" s="57" t="n">
        <f aca="false">B222*1.3</f>
        <v>1.95</v>
      </c>
      <c r="D222" s="58" t="n">
        <f aca="false">'Product Costs'!H58</f>
        <v>0.0183556046583381</v>
      </c>
      <c r="E222" s="59" t="n">
        <f aca="false">B222*D222</f>
        <v>0.0275334069875072</v>
      </c>
      <c r="F222" s="59" t="n">
        <f aca="false">C222*D222</f>
        <v>0.0357934290837594</v>
      </c>
      <c r="G222" s="60" t="n">
        <f aca="false">E222*Assumptions!$B$5</f>
        <v>3.71700994331347</v>
      </c>
      <c r="H222" s="60" t="n">
        <f aca="false">F222*Assumptions!$B$5</f>
        <v>4.83211292630752</v>
      </c>
    </row>
    <row r="223" customFormat="false" ht="15" hidden="false" customHeight="true" outlineLevel="0" collapsed="false">
      <c r="A223" s="26" t="s">
        <v>405</v>
      </c>
      <c r="B223" s="57" t="n">
        <v>1.3</v>
      </c>
      <c r="C223" s="57" t="n">
        <f aca="false">B223*1.3</f>
        <v>1.69</v>
      </c>
      <c r="D223" s="58" t="n">
        <f aca="false">'Product Costs'!H55</f>
        <v>0.0642446163041835</v>
      </c>
      <c r="E223" s="59" t="n">
        <f aca="false">B223*D223</f>
        <v>0.0835180011954385</v>
      </c>
      <c r="F223" s="59" t="n">
        <f aca="false">C223*D223</f>
        <v>0.10857340155407</v>
      </c>
      <c r="G223" s="60" t="n">
        <f aca="false">E223*Assumptions!$B$5</f>
        <v>11.2749301613842</v>
      </c>
      <c r="H223" s="60" t="n">
        <f aca="false">F223*Assumptions!$B$5</f>
        <v>14.6574092097995</v>
      </c>
    </row>
    <row r="224" customFormat="false" ht="15" hidden="false" customHeight="true" outlineLevel="0" collapsed="false">
      <c r="A224" s="26" t="s">
        <v>406</v>
      </c>
      <c r="B224" s="57" t="n">
        <v>1</v>
      </c>
      <c r="C224" s="57" t="n">
        <f aca="false">B224*1.3</f>
        <v>1.3</v>
      </c>
      <c r="D224" s="58" t="n">
        <f aca="false">'Product Costs'!H54</f>
        <v>0.0573612645573067</v>
      </c>
      <c r="E224" s="59" t="n">
        <f aca="false">B224*D224</f>
        <v>0.0573612645573067</v>
      </c>
      <c r="F224" s="59" t="n">
        <f aca="false">C224*D224</f>
        <v>0.0745696439244987</v>
      </c>
      <c r="G224" s="60" t="n">
        <f aca="false">E224*Assumptions!$B$5</f>
        <v>7.7437707152364</v>
      </c>
      <c r="H224" s="60" t="n">
        <f aca="false">F224*Assumptions!$B$5</f>
        <v>10.0669019298073</v>
      </c>
    </row>
    <row r="225" customFormat="false" ht="15" hidden="false" customHeight="true" outlineLevel="0" collapsed="false">
      <c r="A225" s="26" t="s">
        <v>407</v>
      </c>
      <c r="B225" s="57" t="n">
        <v>1</v>
      </c>
      <c r="C225" s="57" t="n">
        <f aca="false">B225*1.3</f>
        <v>1.3</v>
      </c>
      <c r="D225" s="58" t="n">
        <f aca="false">'Product Costs'!H59</f>
        <v>0.0103250276203152</v>
      </c>
      <c r="E225" s="59" t="n">
        <f aca="false">B225*D225</f>
        <v>0.0103250276203152</v>
      </c>
      <c r="F225" s="59" t="n">
        <f aca="false">C225*D225</f>
        <v>0.0134225359064098</v>
      </c>
      <c r="G225" s="60" t="n">
        <f aca="false">E225*Assumptions!$B$5</f>
        <v>1.39387872874255</v>
      </c>
      <c r="H225" s="60" t="n">
        <f aca="false">F225*Assumptions!$B$5</f>
        <v>1.81204234736532</v>
      </c>
    </row>
    <row r="226" customFormat="false" ht="15" hidden="false" customHeight="true" outlineLevel="0" collapsed="false">
      <c r="A226" s="26" t="s">
        <v>408</v>
      </c>
      <c r="B226" s="57" t="n">
        <v>1</v>
      </c>
      <c r="C226" s="57" t="n">
        <f aca="false">B226*1.3</f>
        <v>1.3</v>
      </c>
      <c r="D226" s="58" t="n">
        <f aca="false">'Product Costs'!H60</f>
        <v>0.0160611540760459</v>
      </c>
      <c r="E226" s="59" t="n">
        <f aca="false">B226*D226</f>
        <v>0.0160611540760459</v>
      </c>
      <c r="F226" s="59" t="n">
        <f aca="false">C226*D226</f>
        <v>0.0208795002988596</v>
      </c>
      <c r="G226" s="60" t="n">
        <f aca="false">E226*Assumptions!$B$5</f>
        <v>2.16825580026619</v>
      </c>
      <c r="H226" s="60" t="n">
        <f aca="false">F226*Assumptions!$B$5</f>
        <v>2.81873254034605</v>
      </c>
    </row>
    <row r="227" customFormat="false" ht="15" hidden="false" customHeight="true" outlineLevel="0" collapsed="false">
      <c r="A227" s="26" t="s">
        <v>409</v>
      </c>
      <c r="B227" s="57" t="n">
        <v>0.3</v>
      </c>
      <c r="C227" s="57" t="n">
        <f aca="false">B227*1.3</f>
        <v>0.39</v>
      </c>
      <c r="D227" s="58" t="n">
        <f aca="false">'Product Costs'!H67</f>
        <v>0.0321223081520917</v>
      </c>
      <c r="E227" s="59" t="n">
        <f aca="false">B227*D227</f>
        <v>0.00963669244562752</v>
      </c>
      <c r="F227" s="59" t="n">
        <f aca="false">C227*D227</f>
        <v>0.0125277001793158</v>
      </c>
      <c r="G227" s="60" t="n">
        <f aca="false">E227*Assumptions!$B$5</f>
        <v>1.30095348015972</v>
      </c>
      <c r="H227" s="60" t="n">
        <f aca="false">F227*Assumptions!$B$5</f>
        <v>1.69123952420763</v>
      </c>
    </row>
    <row r="228" customFormat="false" ht="15" hidden="false" customHeight="true" outlineLevel="0" collapsed="false">
      <c r="A228" s="26" t="s">
        <v>416</v>
      </c>
      <c r="B228" s="57" t="n">
        <v>1</v>
      </c>
      <c r="C228" s="57" t="n">
        <f aca="false">B228*1.3</f>
        <v>1.3</v>
      </c>
      <c r="D228" s="58" t="n">
        <f aca="false">'Product Costs'!H38</f>
        <v>0.90466908673238</v>
      </c>
      <c r="E228" s="59" t="n">
        <f aca="false">B228*D228</f>
        <v>0.90466908673238</v>
      </c>
      <c r="F228" s="59" t="n">
        <f aca="false">C228*D228</f>
        <v>1.17606981275209</v>
      </c>
      <c r="G228" s="60" t="n">
        <f aca="false">E228*Assumptions!$B$5</f>
        <v>122.130326708871</v>
      </c>
      <c r="H228" s="60" t="n">
        <f aca="false">F228*Assumptions!$B$5</f>
        <v>158.769424721533</v>
      </c>
    </row>
    <row r="229" customFormat="false" ht="15" hidden="false" customHeight="true" outlineLevel="0" collapsed="false">
      <c r="A229" s="26" t="s">
        <v>417</v>
      </c>
      <c r="B229" s="57" t="n">
        <v>1</v>
      </c>
      <c r="C229" s="57" t="n">
        <f aca="false">B229*1.3</f>
        <v>1.3</v>
      </c>
      <c r="D229" s="58" t="n">
        <f aca="false">'Product Costs'!H39</f>
        <v>0.90466908673238</v>
      </c>
      <c r="E229" s="59" t="n">
        <f aca="false">B229*D229</f>
        <v>0.90466908673238</v>
      </c>
      <c r="F229" s="59" t="n">
        <f aca="false">C229*D229</f>
        <v>1.17606981275209</v>
      </c>
      <c r="G229" s="60" t="n">
        <f aca="false">E229*Assumptions!$B$5</f>
        <v>122.130326708871</v>
      </c>
      <c r="H229" s="60" t="n">
        <f aca="false">F229*Assumptions!$B$5</f>
        <v>158.769424721533</v>
      </c>
    </row>
    <row r="230" customFormat="false" ht="15" hidden="false" customHeight="true" outlineLevel="0" collapsed="false">
      <c r="A230" s="26" t="s">
        <v>418</v>
      </c>
      <c r="B230" s="57" t="n">
        <v>1</v>
      </c>
      <c r="C230" s="57" t="n">
        <f aca="false">B230*1.3</f>
        <v>1.3</v>
      </c>
      <c r="D230" s="58" t="n">
        <f aca="false">'Product Costs'!H40</f>
        <v>0.90466908673238</v>
      </c>
      <c r="E230" s="59" t="n">
        <f aca="false">B230*D230</f>
        <v>0.90466908673238</v>
      </c>
      <c r="F230" s="59" t="n">
        <f aca="false">C230*D230</f>
        <v>1.17606981275209</v>
      </c>
      <c r="G230" s="60" t="n">
        <f aca="false">E230*Assumptions!$B$5</f>
        <v>122.130326708871</v>
      </c>
      <c r="H230" s="60" t="n">
        <f aca="false">F230*Assumptions!$B$5</f>
        <v>158.769424721533</v>
      </c>
    </row>
    <row r="231" customFormat="false" ht="15" hidden="false" customHeight="true" outlineLevel="0" collapsed="false">
      <c r="A231" s="26" t="s">
        <v>410</v>
      </c>
      <c r="B231" s="57" t="n">
        <v>0.5</v>
      </c>
      <c r="C231" s="57" t="n">
        <f aca="false">B231*1.3</f>
        <v>0.65</v>
      </c>
      <c r="D231" s="58" t="n">
        <f aca="false">'Product Costs'!H12</f>
        <v>0.137667034937536</v>
      </c>
      <c r="E231" s="59" t="n">
        <f aca="false">B231*D231</f>
        <v>0.068833517468768</v>
      </c>
      <c r="F231" s="59" t="n">
        <f aca="false">C231*D231</f>
        <v>0.0894835727093985</v>
      </c>
      <c r="G231" s="60" t="n">
        <f aca="false">E231*Assumptions!$B$5</f>
        <v>9.29252485828368</v>
      </c>
      <c r="H231" s="60" t="n">
        <f aca="false">F231*Assumptions!$B$5</f>
        <v>12.0802823157688</v>
      </c>
    </row>
    <row r="232" customFormat="false" ht="15" hidden="false" customHeight="true" outlineLevel="0" collapsed="false">
      <c r="A232" s="26" t="s">
        <v>419</v>
      </c>
      <c r="B232" s="57" t="n">
        <v>1</v>
      </c>
      <c r="C232" s="57" t="n">
        <f aca="false">B232*1.3</f>
        <v>1.3</v>
      </c>
      <c r="D232" s="58" t="n">
        <f aca="false">'Product Costs'!H41</f>
        <v>0.144369924279064</v>
      </c>
      <c r="E232" s="59" t="n">
        <f aca="false">B232*D232</f>
        <v>0.144369924279064</v>
      </c>
      <c r="F232" s="59" t="n">
        <f aca="false">C232*D232</f>
        <v>0.187680901562783</v>
      </c>
      <c r="G232" s="60" t="n">
        <f aca="false">E232*Assumptions!$B$5</f>
        <v>19.4899397776736</v>
      </c>
      <c r="H232" s="60" t="n">
        <f aca="false">F232*Assumptions!$B$5</f>
        <v>25.3369217109757</v>
      </c>
    </row>
    <row r="233" customFormat="false" ht="15" hidden="false" customHeight="true" outlineLevel="0" collapsed="false">
      <c r="A233" s="26" t="s">
        <v>420</v>
      </c>
      <c r="B233" s="57" t="n">
        <v>1</v>
      </c>
      <c r="C233" s="57" t="n">
        <f aca="false">B233*1.3</f>
        <v>1.3</v>
      </c>
      <c r="D233" s="58" t="n">
        <f aca="false">'Product Costs'!H68</f>
        <v>0.385467697825101</v>
      </c>
      <c r="E233" s="59" t="n">
        <f aca="false">B233*D233</f>
        <v>0.385467697825101</v>
      </c>
      <c r="F233" s="59" t="n">
        <f aca="false">C233*D233</f>
        <v>0.501108007172631</v>
      </c>
      <c r="G233" s="60" t="n">
        <f aca="false">E233*Assumptions!$B$5</f>
        <v>52.0381392063886</v>
      </c>
      <c r="H233" s="60" t="n">
        <f aca="false">F233*Assumptions!$B$5</f>
        <v>67.6495809683052</v>
      </c>
    </row>
    <row r="234" customFormat="false" ht="15" hidden="false" customHeight="true" outlineLevel="0" collapsed="false">
      <c r="A234" s="26" t="s">
        <v>421</v>
      </c>
      <c r="B234" s="57" t="n">
        <v>1</v>
      </c>
      <c r="C234" s="57" t="n">
        <f aca="false">B234*1.3</f>
        <v>1.3</v>
      </c>
      <c r="D234" s="58" t="n">
        <f aca="false">'Product Costs'!H7</f>
        <v>0.491667981919772</v>
      </c>
      <c r="E234" s="59" t="n">
        <f aca="false">B234*D234</f>
        <v>0.491667981919772</v>
      </c>
      <c r="F234" s="59" t="n">
        <f aca="false">C234*D234</f>
        <v>0.639168376495703</v>
      </c>
      <c r="G234" s="60" t="n">
        <f aca="false">E234*Assumptions!$B$5</f>
        <v>66.3751775591692</v>
      </c>
      <c r="H234" s="60" t="n">
        <f aca="false">F234*Assumptions!$B$5</f>
        <v>86.2877308269199</v>
      </c>
    </row>
    <row r="235" customFormat="false" ht="15" hidden="false" customHeight="true" outlineLevel="0" collapsed="false">
      <c r="A235" s="26" t="s">
        <v>422</v>
      </c>
      <c r="B235" s="57" t="n">
        <v>1</v>
      </c>
      <c r="C235" s="57" t="n">
        <f aca="false">B235*1.3</f>
        <v>1.3</v>
      </c>
      <c r="D235" s="58" t="n">
        <f aca="false">'Product Costs'!H8</f>
        <v>0.491667981919772</v>
      </c>
      <c r="E235" s="59" t="n">
        <f aca="false">B235*D235</f>
        <v>0.491667981919772</v>
      </c>
      <c r="F235" s="59" t="n">
        <f aca="false">C235*D235</f>
        <v>0.639168376495703</v>
      </c>
      <c r="G235" s="60" t="n">
        <f aca="false">E235*Assumptions!$B$5</f>
        <v>66.3751775591692</v>
      </c>
      <c r="H235" s="60" t="n">
        <f aca="false">F235*Assumptions!$B$5</f>
        <v>86.2877308269199</v>
      </c>
    </row>
    <row r="236" customFormat="false" ht="15" hidden="false" customHeight="true" outlineLevel="0" collapsed="false">
      <c r="A236" s="26" t="s">
        <v>423</v>
      </c>
      <c r="B236" s="57" t="n">
        <v>1</v>
      </c>
      <c r="C236" s="57" t="n">
        <f aca="false">B236*1.3</f>
        <v>1.3</v>
      </c>
      <c r="D236" s="58" t="n">
        <f aca="false">'Product Costs'!H25</f>
        <v>0.535829776702985</v>
      </c>
      <c r="E236" s="59" t="n">
        <f aca="false">B236*D236</f>
        <v>0.535829776702985</v>
      </c>
      <c r="F236" s="59" t="n">
        <f aca="false">C236*D236</f>
        <v>0.69657870971388</v>
      </c>
      <c r="G236" s="60" t="n">
        <f aca="false">E236*Assumptions!$B$5</f>
        <v>72.3370198549029</v>
      </c>
      <c r="H236" s="60" t="n">
        <f aca="false">F236*Assumptions!$B$5</f>
        <v>94.0381258113738</v>
      </c>
    </row>
    <row r="237" customFormat="false" ht="15" hidden="false" customHeight="true" outlineLevel="0" collapsed="false">
      <c r="A237" s="26" t="s">
        <v>424</v>
      </c>
      <c r="B237" s="57" t="n">
        <v>1</v>
      </c>
      <c r="C237" s="57" t="n">
        <f aca="false">B237*1.3</f>
        <v>1.3</v>
      </c>
      <c r="D237" s="58" t="n">
        <f aca="false">'Product Costs'!H35</f>
        <v>9.63669244562752</v>
      </c>
      <c r="E237" s="59" t="n">
        <f aca="false">B237*D237</f>
        <v>9.63669244562752</v>
      </c>
      <c r="F237" s="59" t="n">
        <f aca="false">C237*D237</f>
        <v>12.5277001793158</v>
      </c>
      <c r="G237" s="60" t="n">
        <f aca="false">E237*Assumptions!$B$5</f>
        <v>1300.95348015972</v>
      </c>
      <c r="H237" s="60" t="n">
        <f aca="false">F237*Assumptions!$B$5</f>
        <v>1691.23952420763</v>
      </c>
    </row>
    <row r="238" customFormat="false" ht="15" hidden="false" customHeight="true" outlineLevel="0" collapsed="false">
      <c r="A238" s="26" t="s">
        <v>425</v>
      </c>
      <c r="B238" s="57" t="n">
        <v>0.1</v>
      </c>
      <c r="C238" s="57" t="n">
        <f aca="false">B238*1.3</f>
        <v>0.13</v>
      </c>
      <c r="D238" s="58" t="n">
        <f aca="false">'Product Costs'!H70</f>
        <v>1.5418707913004</v>
      </c>
      <c r="E238" s="59" t="n">
        <f aca="false">B238*D238</f>
        <v>0.15418707913004</v>
      </c>
      <c r="F238" s="59" t="n">
        <f aca="false">C238*D238</f>
        <v>0.200443202869053</v>
      </c>
      <c r="G238" s="60" t="n">
        <f aca="false">E238*Assumptions!$B$5</f>
        <v>20.8152556825555</v>
      </c>
      <c r="H238" s="60" t="n">
        <f aca="false">F238*Assumptions!$B$5</f>
        <v>27.0598323873221</v>
      </c>
    </row>
    <row r="239" customFormat="false" ht="15" hidden="false" customHeight="true" outlineLevel="0" collapsed="false">
      <c r="A239" s="26" t="s">
        <v>426</v>
      </c>
      <c r="B239" s="57" t="n">
        <v>1</v>
      </c>
      <c r="C239" s="57" t="n">
        <f aca="false">B239*1.3</f>
        <v>1.3</v>
      </c>
      <c r="D239" s="58" t="n">
        <f aca="false">'Product Costs'!H37</f>
        <v>0.539654776955141</v>
      </c>
      <c r="E239" s="59" t="n">
        <f aca="false">B239*D239</f>
        <v>0.539654776955141</v>
      </c>
      <c r="F239" s="59" t="n">
        <f aca="false">C239*D239</f>
        <v>0.701551210041684</v>
      </c>
      <c r="G239" s="60" t="n">
        <f aca="false">E239*Assumptions!$B$5</f>
        <v>72.8533948889441</v>
      </c>
      <c r="H239" s="60" t="n">
        <f aca="false">F239*Assumptions!$B$5</f>
        <v>94.7094133556273</v>
      </c>
    </row>
    <row r="240" customFormat="false" ht="15" hidden="false" customHeight="true" outlineLevel="0" collapsed="false">
      <c r="A240" s="26" t="s">
        <v>427</v>
      </c>
      <c r="B240" s="57" t="n">
        <v>1.5</v>
      </c>
      <c r="C240" s="57" t="n">
        <f aca="false">B240*1.3</f>
        <v>1.95</v>
      </c>
      <c r="D240" s="58" t="n">
        <f aca="false">'Product Costs'!H30</f>
        <v>0.289825336710602</v>
      </c>
      <c r="E240" s="59" t="n">
        <f aca="false">B240*D240</f>
        <v>0.434738005065903</v>
      </c>
      <c r="F240" s="59" t="n">
        <f aca="false">C240*D240</f>
        <v>0.565159406585674</v>
      </c>
      <c r="G240" s="60" t="n">
        <f aca="false">E240*Assumptions!$B$5</f>
        <v>58.689630683897</v>
      </c>
      <c r="H240" s="60" t="n">
        <f aca="false">F240*Assumptions!$B$5</f>
        <v>76.2965198890661</v>
      </c>
    </row>
    <row r="241" customFormat="false" ht="15" hidden="false" customHeight="true" outlineLevel="0" collapsed="false">
      <c r="A241" s="26" t="s">
        <v>411</v>
      </c>
      <c r="B241" s="57" t="n">
        <v>1.4</v>
      </c>
      <c r="C241" s="57" t="n">
        <f aca="false">B241*1.3</f>
        <v>1.82</v>
      </c>
      <c r="D241" s="58" t="n">
        <f aca="false">'Product Costs'!H42</f>
        <v>0.124024355799582</v>
      </c>
      <c r="E241" s="59" t="n">
        <f aca="false">B241*D241</f>
        <v>0.173634098119415</v>
      </c>
      <c r="F241" s="59" t="n">
        <f aca="false">C241*D241</f>
        <v>0.225724327555239</v>
      </c>
      <c r="G241" s="60" t="n">
        <f aca="false">E241*Assumptions!$B$5</f>
        <v>23.440603246121</v>
      </c>
      <c r="H241" s="60" t="n">
        <f aca="false">F241*Assumptions!$B$5</f>
        <v>30.4727842199573</v>
      </c>
    </row>
    <row r="242" customFormat="false" ht="15" hidden="false" customHeight="true" outlineLevel="0" collapsed="false">
      <c r="A242" s="26" t="s">
        <v>428</v>
      </c>
      <c r="B242" s="57" t="n">
        <v>1</v>
      </c>
      <c r="C242" s="57" t="n">
        <f aca="false">B242*1.3</f>
        <v>1.3</v>
      </c>
      <c r="D242" s="58" t="n">
        <f aca="false">'Product Costs'!H44</f>
        <v>0.371700994331347</v>
      </c>
      <c r="E242" s="59" t="n">
        <f aca="false">B242*D242</f>
        <v>0.371700994331347</v>
      </c>
      <c r="F242" s="59" t="n">
        <f aca="false">C242*D242</f>
        <v>0.483211292630752</v>
      </c>
      <c r="G242" s="60" t="n">
        <f aca="false">E242*Assumptions!$B$5</f>
        <v>50.1796342347319</v>
      </c>
      <c r="H242" s="60" t="n">
        <f aca="false">F242*Assumptions!$B$5</f>
        <v>65.2335245051515</v>
      </c>
    </row>
    <row r="243" customFormat="false" ht="15" hidden="false" customHeight="true" outlineLevel="0" collapsed="false">
      <c r="A243" s="26" t="s">
        <v>429</v>
      </c>
      <c r="B243" s="57" t="n">
        <v>1</v>
      </c>
      <c r="C243" s="57" t="n">
        <f aca="false">B243*1.3</f>
        <v>1.3</v>
      </c>
      <c r="D243" s="58" t="n">
        <f aca="false">'Product Costs'!H45</f>
        <v>0.247800662887565</v>
      </c>
      <c r="E243" s="59" t="n">
        <f aca="false">B243*D243</f>
        <v>0.247800662887565</v>
      </c>
      <c r="F243" s="59" t="n">
        <f aca="false">C243*D243</f>
        <v>0.322140861753834</v>
      </c>
      <c r="G243" s="60" t="n">
        <f aca="false">E243*Assumptions!$B$5</f>
        <v>33.4530894898213</v>
      </c>
      <c r="H243" s="60" t="n">
        <f aca="false">F243*Assumptions!$B$5</f>
        <v>43.4890163367677</v>
      </c>
    </row>
    <row r="244" customFormat="false" ht="15" hidden="false" customHeight="true" outlineLevel="0" collapsed="false">
      <c r="A244" s="26" t="s">
        <v>430</v>
      </c>
      <c r="B244" s="57" t="n">
        <v>1</v>
      </c>
      <c r="C244" s="57" t="n">
        <f aca="false">B244*1.3</f>
        <v>1.3</v>
      </c>
      <c r="D244" s="58" t="n">
        <f aca="false">'Product Costs'!H46</f>
        <v>0.105659449314559</v>
      </c>
      <c r="E244" s="59" t="n">
        <f aca="false">B244*D244</f>
        <v>0.105659449314559</v>
      </c>
      <c r="F244" s="59" t="n">
        <f aca="false">C244*D244</f>
        <v>0.137357284108927</v>
      </c>
      <c r="G244" s="60" t="n">
        <f aca="false">E244*Assumptions!$B$5</f>
        <v>14.2640256574655</v>
      </c>
      <c r="H244" s="60" t="n">
        <f aca="false">F244*Assumptions!$B$5</f>
        <v>18.5432333547051</v>
      </c>
    </row>
    <row r="245" customFormat="false" ht="15" hidden="false" customHeight="true" outlineLevel="0" collapsed="false">
      <c r="A245" s="26" t="s">
        <v>431</v>
      </c>
      <c r="B245" s="57" t="n">
        <v>1</v>
      </c>
      <c r="C245" s="57" t="n">
        <f aca="false">B245*1.3</f>
        <v>1.3</v>
      </c>
      <c r="D245" s="58" t="n">
        <f aca="false">'Product Costs'!H43</f>
        <v>0.289100773368826</v>
      </c>
      <c r="E245" s="59" t="n">
        <f aca="false">B245*D245</f>
        <v>0.289100773368826</v>
      </c>
      <c r="F245" s="59" t="n">
        <f aca="false">C245*D245</f>
        <v>0.375831005379473</v>
      </c>
      <c r="G245" s="60" t="n">
        <f aca="false">E245*Assumptions!$B$5</f>
        <v>39.0286044047915</v>
      </c>
      <c r="H245" s="60" t="n">
        <f aca="false">F245*Assumptions!$B$5</f>
        <v>50.7371857262289</v>
      </c>
    </row>
    <row r="246" customFormat="false" ht="15" hidden="false" customHeight="true" outlineLevel="0" collapsed="false">
      <c r="A246" s="26" t="s">
        <v>432</v>
      </c>
      <c r="B246" s="57" t="n">
        <v>1</v>
      </c>
      <c r="C246" s="57" t="n">
        <f aca="false">B246*1.3</f>
        <v>1.3</v>
      </c>
      <c r="D246" s="58" t="n">
        <f aca="false">'Product Costs'!H69</f>
        <v>0.0454301215293869</v>
      </c>
      <c r="E246" s="59" t="n">
        <f aca="false">B246*D246</f>
        <v>0.0454301215293869</v>
      </c>
      <c r="F246" s="59" t="n">
        <f aca="false">C246*D246</f>
        <v>0.059059157988203</v>
      </c>
      <c r="G246" s="60" t="n">
        <f aca="false">E246*Assumptions!$B$5</f>
        <v>6.13306640646723</v>
      </c>
      <c r="H246" s="60" t="n">
        <f aca="false">F246*Assumptions!$B$5</f>
        <v>7.9729863284074</v>
      </c>
    </row>
    <row r="247" customFormat="false" ht="15" hidden="false" customHeight="true" outlineLevel="0" collapsed="false">
      <c r="A247" s="26" t="s">
        <v>433</v>
      </c>
      <c r="B247" s="57" t="n">
        <v>1</v>
      </c>
      <c r="C247" s="57" t="n">
        <f aca="false">B247*1.3</f>
        <v>1.3</v>
      </c>
      <c r="D247" s="58" t="n">
        <f aca="false">'Product Costs'!H56</f>
        <v>0.0642446163041835</v>
      </c>
      <c r="E247" s="59" t="n">
        <f aca="false">B247*D247</f>
        <v>0.0642446163041835</v>
      </c>
      <c r="F247" s="59" t="n">
        <f aca="false">C247*D247</f>
        <v>0.0835180011954385</v>
      </c>
      <c r="G247" s="60" t="n">
        <f aca="false">E247*Assumptions!$B$5</f>
        <v>8.67302320106477</v>
      </c>
      <c r="H247" s="60" t="n">
        <f aca="false">F247*Assumptions!$B$5</f>
        <v>11.2749301613842</v>
      </c>
    </row>
    <row r="248" customFormat="false" ht="15" hidden="false" customHeight="true" outlineLevel="0" collapsed="false">
      <c r="A248" s="26" t="s">
        <v>434</v>
      </c>
      <c r="B248" s="57" t="n">
        <v>0.4</v>
      </c>
      <c r="C248" s="57" t="n">
        <f aca="false">B248*1.3</f>
        <v>0.52</v>
      </c>
      <c r="D248" s="58" t="n">
        <f aca="false">'Product Costs'!H51</f>
        <v>0.0275334069875072</v>
      </c>
      <c r="E248" s="59" t="n">
        <f aca="false">B248*D248</f>
        <v>0.0110133627950029</v>
      </c>
      <c r="F248" s="59" t="n">
        <f aca="false">C248*D248</f>
        <v>0.0143173716335038</v>
      </c>
      <c r="G248" s="60" t="n">
        <f aca="false">E248*Assumptions!$B$5</f>
        <v>1.48680397732539</v>
      </c>
      <c r="H248" s="60" t="n">
        <f aca="false">F248*Assumptions!$B$5</f>
        <v>1.93284517052301</v>
      </c>
    </row>
    <row r="249" customFormat="false" ht="15" hidden="false" customHeight="true" outlineLevel="0" collapsed="false">
      <c r="A249" s="26" t="s">
        <v>449</v>
      </c>
      <c r="B249" s="57" t="n">
        <v>1</v>
      </c>
      <c r="C249" s="57" t="n">
        <f aca="false">B249*1.3</f>
        <v>1.3</v>
      </c>
      <c r="D249" s="58" t="n">
        <f aca="false">'Product Costs'!H16</f>
        <v>378.584346078224</v>
      </c>
      <c r="E249" s="59" t="n">
        <f aca="false">B249*D249</f>
        <v>378.584346078224</v>
      </c>
      <c r="F249" s="59" t="n">
        <f aca="false">C249*D249</f>
        <v>492.159649901691</v>
      </c>
      <c r="G249" s="60" t="n">
        <f aca="false">E249*Assumptions!$B$5</f>
        <v>51108.8867205603</v>
      </c>
      <c r="H249" s="60" t="n">
        <f aca="false">F249*Assumptions!$B$5</f>
        <v>66441.5527367284</v>
      </c>
    </row>
    <row r="250" customFormat="false" ht="15" hidden="false" customHeight="true" outlineLevel="0" collapsed="false">
      <c r="A250" s="26" t="s">
        <v>441</v>
      </c>
      <c r="B250" s="57" t="n">
        <v>2</v>
      </c>
      <c r="C250" s="57" t="n">
        <f aca="false">B250*1.3</f>
        <v>2.6</v>
      </c>
      <c r="D250" s="58" t="n">
        <f aca="false">'Product Costs'!H52</f>
        <v>0.0413001104812608</v>
      </c>
      <c r="E250" s="59" t="n">
        <f aca="false">B250*D250</f>
        <v>0.0826002209625217</v>
      </c>
      <c r="F250" s="59" t="n">
        <f aca="false">C250*D250</f>
        <v>0.107380287251278</v>
      </c>
      <c r="G250" s="60" t="n">
        <f aca="false">E250*Assumptions!$B$5</f>
        <v>11.1510298299404</v>
      </c>
      <c r="H250" s="60" t="n">
        <f aca="false">F250*Assumptions!$B$5</f>
        <v>14.4963387789226</v>
      </c>
    </row>
    <row r="251" customFormat="false" ht="15" hidden="false" customHeight="true" outlineLevel="0" collapsed="false">
      <c r="A251" s="26" t="s">
        <v>442</v>
      </c>
      <c r="B251" s="57" t="n">
        <v>2</v>
      </c>
      <c r="C251" s="57" t="n">
        <f aca="false">B251*1.3</f>
        <v>2.6</v>
      </c>
      <c r="D251" s="58" t="n">
        <f aca="false">'Product Costs'!H65</f>
        <v>0.413001104812608</v>
      </c>
      <c r="E251" s="59" t="n">
        <f aca="false">B251*D251</f>
        <v>0.826002209625216</v>
      </c>
      <c r="F251" s="59" t="n">
        <f aca="false">C251*D251</f>
        <v>1.07380287251278</v>
      </c>
      <c r="G251" s="60" t="n">
        <f aca="false">E251*Assumptions!$B$5</f>
        <v>111.510298299404</v>
      </c>
      <c r="H251" s="60" t="n">
        <f aca="false">F251*Assumptions!$B$5</f>
        <v>144.963387789225</v>
      </c>
    </row>
    <row r="252" customFormat="false" ht="15" hidden="false" customHeight="true" outlineLevel="0" collapsed="false">
      <c r="A252" s="26" t="s">
        <v>443</v>
      </c>
      <c r="B252" s="57" t="n">
        <v>1</v>
      </c>
      <c r="C252" s="57" t="n">
        <f aca="false">B252*1.3</f>
        <v>1.3</v>
      </c>
      <c r="D252" s="58" t="n">
        <f aca="false">'Product Costs'!H63</f>
        <v>0.137667034937536</v>
      </c>
      <c r="E252" s="59" t="n">
        <f aca="false">B252*D252</f>
        <v>0.137667034937536</v>
      </c>
      <c r="F252" s="59" t="n">
        <f aca="false">C252*D252</f>
        <v>0.178967145418797</v>
      </c>
      <c r="G252" s="60" t="n">
        <f aca="false">E252*Assumptions!$B$5</f>
        <v>18.5850497165674</v>
      </c>
      <c r="H252" s="60" t="n">
        <f aca="false">F252*Assumptions!$B$5</f>
        <v>24.1605646315376</v>
      </c>
    </row>
    <row r="253" customFormat="false" ht="15" hidden="false" customHeight="true" outlineLevel="0" collapsed="false">
      <c r="A253" s="26" t="s">
        <v>444</v>
      </c>
      <c r="B253" s="57" t="n">
        <v>1</v>
      </c>
      <c r="C253" s="57" t="n">
        <f aca="false">B253*1.3</f>
        <v>1.3</v>
      </c>
      <c r="D253" s="58" t="n">
        <f aca="false">'Product Costs'!H64</f>
        <v>0.826002209625216</v>
      </c>
      <c r="E253" s="59" t="n">
        <f aca="false">B253*D253</f>
        <v>0.826002209625216</v>
      </c>
      <c r="F253" s="59" t="n">
        <f aca="false">C253*D253</f>
        <v>1.07380287251278</v>
      </c>
      <c r="G253" s="60" t="n">
        <f aca="false">E253*Assumptions!$B$5</f>
        <v>111.510298299404</v>
      </c>
      <c r="H253" s="60" t="n">
        <f aca="false">F253*Assumptions!$B$5</f>
        <v>144.963387789225</v>
      </c>
    </row>
    <row r="254" customFormat="false" ht="15" hidden="false" customHeight="true" outlineLevel="0" collapsed="false">
      <c r="A254" s="26" t="s">
        <v>445</v>
      </c>
      <c r="B254" s="57" t="n">
        <v>1</v>
      </c>
      <c r="C254" s="57" t="n">
        <f aca="false">B254*1.3</f>
        <v>1.3</v>
      </c>
      <c r="D254" s="58" t="n">
        <f aca="false">'Product Costs'!H17</f>
        <v>22.3708931773496</v>
      </c>
      <c r="E254" s="59" t="n">
        <f aca="false">B254*D254</f>
        <v>22.3708931773496</v>
      </c>
      <c r="F254" s="59" t="n">
        <f aca="false">C254*D254</f>
        <v>29.0821611305545</v>
      </c>
      <c r="G254" s="60" t="n">
        <f aca="false">E254*Assumptions!$B$5</f>
        <v>3020.0705789422</v>
      </c>
      <c r="H254" s="60" t="n">
        <f aca="false">F254*Assumptions!$B$5</f>
        <v>3926.09175262486</v>
      </c>
    </row>
    <row r="255" customFormat="false" ht="15" hidden="false" customHeight="true" outlineLevel="0" collapsed="false">
      <c r="A255" s="26" t="s">
        <v>435</v>
      </c>
      <c r="B255" s="57" t="n">
        <v>1</v>
      </c>
      <c r="C255" s="57" t="n">
        <f aca="false">B255*1.3</f>
        <v>1.3</v>
      </c>
      <c r="D255" s="58" t="n">
        <f aca="false">'Product Costs'!H13</f>
        <v>0.475426697231731</v>
      </c>
      <c r="E255" s="59" t="n">
        <f aca="false">B255*D255</f>
        <v>0.475426697231731</v>
      </c>
      <c r="F255" s="59" t="n">
        <f aca="false">C255*D255</f>
        <v>0.618054706401251</v>
      </c>
      <c r="G255" s="60" t="n">
        <f aca="false">E255*Assumptions!$B$5</f>
        <v>64.1826041262837</v>
      </c>
      <c r="H255" s="60" t="n">
        <f aca="false">F255*Assumptions!$B$5</f>
        <v>83.4373853641688</v>
      </c>
    </row>
    <row r="256" customFormat="false" ht="15" hidden="false" customHeight="true" outlineLevel="0" collapsed="false">
      <c r="A256" s="61" t="s">
        <v>386</v>
      </c>
      <c r="B256" s="62"/>
      <c r="C256" s="62"/>
      <c r="D256" s="62"/>
      <c r="E256" s="63" t="n">
        <f aca="false">SUM(E200:E255)</f>
        <v>430.108189130255</v>
      </c>
      <c r="F256" s="63" t="n">
        <f aca="false">SUM(F200:F255)</f>
        <v>559.140645869331</v>
      </c>
      <c r="G256" s="64" t="n">
        <f aca="false">E256*Assumptions!$B$5</f>
        <v>58064.6055325844</v>
      </c>
      <c r="H256" s="64" t="n">
        <f aca="false">F256*Assumptions!$B$5</f>
        <v>75483.9871923597</v>
      </c>
    </row>
    <row r="257" customFormat="false" ht="15" hidden="false" customHeight="true" outlineLevel="0" collapsed="false">
      <c r="A257" s="26" t="s">
        <v>436</v>
      </c>
      <c r="E257" s="65" t="n">
        <f aca="false">E256*0.25</f>
        <v>107.527047282564</v>
      </c>
      <c r="F257" s="65" t="n">
        <f aca="false">F256*0.25</f>
        <v>139.785161467333</v>
      </c>
      <c r="G257" s="28" t="n">
        <f aca="false">E257*Assumptions!$B$5</f>
        <v>14516.1513831461</v>
      </c>
      <c r="H257" s="28" t="n">
        <f aca="false">F257*Assumptions!$B$5</f>
        <v>18870.9967980899</v>
      </c>
    </row>
    <row r="258" customFormat="false" ht="15" hidden="false" customHeight="true" outlineLevel="0" collapsed="false">
      <c r="A258" s="61" t="s">
        <v>388</v>
      </c>
      <c r="B258" s="62"/>
      <c r="C258" s="62"/>
      <c r="D258" s="62"/>
      <c r="E258" s="63" t="n">
        <f aca="false">E256+E257</f>
        <v>537.635236412818</v>
      </c>
      <c r="F258" s="63" t="n">
        <f aca="false">F256+F257</f>
        <v>698.925807336664</v>
      </c>
      <c r="G258" s="64" t="n">
        <f aca="false">E258*Assumptions!$B$5</f>
        <v>72580.7569157305</v>
      </c>
      <c r="H258" s="64" t="n">
        <f aca="false">F258*Assumptions!$B$5</f>
        <v>94354.9839904496</v>
      </c>
    </row>
    <row r="259" customFormat="false" ht="15" hidden="false" customHeight="true" outlineLevel="0" collapsed="false">
      <c r="A259" s="66" t="s">
        <v>389</v>
      </c>
      <c r="B259" s="67"/>
      <c r="C259" s="67"/>
      <c r="D259" s="67"/>
      <c r="E259" s="68" t="n">
        <f aca="false">G259/Assumptions!$B$5</f>
        <v>1111.11111111111</v>
      </c>
      <c r="F259" s="68" t="n">
        <f aca="false">H259/Assumptions!$B$5</f>
        <v>1333.33333333333</v>
      </c>
      <c r="G259" s="69" t="n">
        <v>150000</v>
      </c>
      <c r="H259" s="69" t="n">
        <v>180000</v>
      </c>
    </row>
    <row r="260" customFormat="false" ht="15" hidden="false" customHeight="true" outlineLevel="0" collapsed="false">
      <c r="A260" s="61" t="s">
        <v>390</v>
      </c>
      <c r="B260" s="62"/>
      <c r="C260" s="62"/>
      <c r="D260" s="62"/>
      <c r="E260" s="63" t="n">
        <f aca="false">E259-E258</f>
        <v>573.475874698293</v>
      </c>
      <c r="F260" s="63" t="n">
        <f aca="false">F259-F258</f>
        <v>634.40752599667</v>
      </c>
      <c r="G260" s="64" t="n">
        <f aca="false">G259-G258</f>
        <v>77419.2430842695</v>
      </c>
      <c r="H260" s="64" t="n">
        <f aca="false">H259-H258</f>
        <v>85645.0160095504</v>
      </c>
    </row>
    <row r="261" customFormat="false" ht="15" hidden="false" customHeight="true" outlineLevel="0" collapsed="false">
      <c r="A261" s="61" t="s">
        <v>391</v>
      </c>
      <c r="B261" s="62"/>
      <c r="C261" s="62"/>
      <c r="D261" s="62"/>
      <c r="E261" s="62"/>
      <c r="F261" s="62"/>
      <c r="G261" s="70" t="n">
        <f aca="false">G260/G259</f>
        <v>0.516128287228464</v>
      </c>
      <c r="H261" s="70" t="n">
        <f aca="false">H260/H259</f>
        <v>0.475805644497502</v>
      </c>
    </row>
    <row r="263" customFormat="false" ht="15" hidden="false" customHeight="true" outlineLevel="0" collapsed="false">
      <c r="A263" s="22" t="s">
        <v>450</v>
      </c>
      <c r="B263" s="55" t="s">
        <v>451</v>
      </c>
      <c r="C263" s="23"/>
      <c r="D263" s="23"/>
      <c r="E263" s="23"/>
      <c r="F263" s="23"/>
      <c r="G263" s="23"/>
      <c r="H263" s="23"/>
    </row>
    <row r="264" customFormat="false" ht="117" hidden="false" customHeight="true" outlineLevel="0" collapsed="false">
      <c r="A264" s="26" t="s">
        <v>361</v>
      </c>
      <c r="B264" s="56" t="s">
        <v>452</v>
      </c>
      <c r="C264" s="56"/>
      <c r="D264" s="56"/>
      <c r="E264" s="56"/>
      <c r="F264" s="56"/>
      <c r="G264" s="56"/>
      <c r="H264" s="56"/>
    </row>
    <row r="265" customFormat="false" ht="23.25" hidden="false" customHeight="true" outlineLevel="0" collapsed="false">
      <c r="A265" s="24" t="s">
        <v>363</v>
      </c>
      <c r="B265" s="25" t="s">
        <v>364</v>
      </c>
      <c r="C265" s="25" t="s">
        <v>365</v>
      </c>
      <c r="D265" s="25" t="s">
        <v>366</v>
      </c>
      <c r="E265" s="25" t="s">
        <v>367</v>
      </c>
      <c r="F265" s="25" t="s">
        <v>368</v>
      </c>
      <c r="G265" s="25" t="s">
        <v>369</v>
      </c>
      <c r="H265" s="25" t="s">
        <v>370</v>
      </c>
    </row>
    <row r="266" customFormat="false" ht="15" hidden="false" customHeight="true" outlineLevel="0" collapsed="false">
      <c r="A266" s="26" t="s">
        <v>445</v>
      </c>
      <c r="B266" s="57" t="n">
        <v>1</v>
      </c>
      <c r="C266" s="57" t="n">
        <f aca="false">B266*1.3</f>
        <v>1.3</v>
      </c>
      <c r="D266" s="58" t="n">
        <f aca="false">'Product Costs'!H17</f>
        <v>22.3708931773496</v>
      </c>
      <c r="E266" s="59" t="n">
        <f aca="false">B266*D266</f>
        <v>22.3708931773496</v>
      </c>
      <c r="F266" s="59" t="n">
        <f aca="false">C266*D266</f>
        <v>29.0821611305545</v>
      </c>
      <c r="G266" s="60" t="n">
        <f aca="false">E266*Assumptions!$B$5</f>
        <v>3020.0705789422</v>
      </c>
      <c r="H266" s="60" t="n">
        <f aca="false">F266*Assumptions!$B$5</f>
        <v>3926.09175262486</v>
      </c>
    </row>
    <row r="267" customFormat="false" ht="15" hidden="false" customHeight="true" outlineLevel="0" collapsed="false">
      <c r="A267" s="26" t="s">
        <v>381</v>
      </c>
      <c r="B267" s="57" t="n">
        <v>0.2</v>
      </c>
      <c r="C267" s="57" t="n">
        <f aca="false">B267*1.3</f>
        <v>0.26</v>
      </c>
      <c r="D267" s="58" t="n">
        <f aca="false">'Product Costs'!H50</f>
        <v>0.019273384891255</v>
      </c>
      <c r="E267" s="59" t="n">
        <f aca="false">B267*D267</f>
        <v>0.00385467697825101</v>
      </c>
      <c r="F267" s="59" t="n">
        <f aca="false">C267*D267</f>
        <v>0.00501108007172631</v>
      </c>
      <c r="G267" s="60" t="n">
        <f aca="false">E267*Assumptions!$B$5</f>
        <v>0.520381392063886</v>
      </c>
      <c r="H267" s="60" t="n">
        <f aca="false">F267*Assumptions!$B$5</f>
        <v>0.676495809683052</v>
      </c>
    </row>
    <row r="268" customFormat="false" ht="15" hidden="false" customHeight="true" outlineLevel="0" collapsed="false">
      <c r="A268" s="61" t="s">
        <v>386</v>
      </c>
      <c r="B268" s="62"/>
      <c r="C268" s="62"/>
      <c r="D268" s="62"/>
      <c r="E268" s="63" t="n">
        <f aca="false">SUM(E266:E267)</f>
        <v>22.3747478543279</v>
      </c>
      <c r="F268" s="63" t="n">
        <f aca="false">SUM(F266:F267)</f>
        <v>29.0871722106262</v>
      </c>
      <c r="G268" s="64" t="n">
        <f aca="false">E268*Assumptions!$B$5</f>
        <v>3020.59096033426</v>
      </c>
      <c r="H268" s="64" t="n">
        <f aca="false">F268*Assumptions!$B$5</f>
        <v>3926.76824843454</v>
      </c>
    </row>
    <row r="269" customFormat="false" ht="15" hidden="false" customHeight="true" outlineLevel="0" collapsed="false">
      <c r="A269" s="26" t="s">
        <v>387</v>
      </c>
      <c r="E269" s="65" t="n">
        <f aca="false">E268*Assumptions!$B$9</f>
        <v>3.35621217814918</v>
      </c>
      <c r="F269" s="65" t="n">
        <f aca="false">F268*Assumptions!$B$9</f>
        <v>4.36307583159393</v>
      </c>
      <c r="G269" s="28" t="n">
        <f aca="false">E269*Assumptions!$B$5</f>
        <v>453.088644050139</v>
      </c>
      <c r="H269" s="28" t="n">
        <f aca="false">F269*Assumptions!$B$5</f>
        <v>589.015237265181</v>
      </c>
    </row>
    <row r="270" customFormat="false" ht="15" hidden="false" customHeight="true" outlineLevel="0" collapsed="false">
      <c r="A270" s="61" t="s">
        <v>388</v>
      </c>
      <c r="B270" s="62"/>
      <c r="C270" s="62"/>
      <c r="D270" s="62"/>
      <c r="E270" s="63" t="n">
        <f aca="false">E268+E269</f>
        <v>25.730960032477</v>
      </c>
      <c r="F270" s="63" t="n">
        <f aca="false">F268+F269</f>
        <v>33.4502480422202</v>
      </c>
      <c r="G270" s="64" t="n">
        <f aca="false">E270*Assumptions!$B$5</f>
        <v>3473.6796043844</v>
      </c>
      <c r="H270" s="64" t="n">
        <f aca="false">F270*Assumptions!$B$5</f>
        <v>4515.78348569972</v>
      </c>
    </row>
    <row r="271" customFormat="false" ht="15" hidden="false" customHeight="true" outlineLevel="0" collapsed="false">
      <c r="A271" s="66" t="s">
        <v>389</v>
      </c>
      <c r="B271" s="67"/>
      <c r="C271" s="67"/>
      <c r="D271" s="67"/>
      <c r="E271" s="68" t="n">
        <f aca="false">G271/Assumptions!$B$5</f>
        <v>74.0740740740741</v>
      </c>
      <c r="F271" s="68" t="n">
        <f aca="false">H271/Assumptions!$B$5</f>
        <v>88.8888888888889</v>
      </c>
      <c r="G271" s="69" t="n">
        <v>10000</v>
      </c>
      <c r="H271" s="69" t="n">
        <v>12000</v>
      </c>
    </row>
    <row r="272" customFormat="false" ht="15" hidden="false" customHeight="true" outlineLevel="0" collapsed="false">
      <c r="A272" s="61" t="s">
        <v>390</v>
      </c>
      <c r="B272" s="62"/>
      <c r="C272" s="62"/>
      <c r="D272" s="62"/>
      <c r="E272" s="63" t="n">
        <f aca="false">E271-E270</f>
        <v>48.343114041597</v>
      </c>
      <c r="F272" s="63" t="n">
        <f aca="false">F271-F270</f>
        <v>55.4386408466687</v>
      </c>
      <c r="G272" s="64" t="n">
        <f aca="false">G271-G270</f>
        <v>6526.3203956156</v>
      </c>
      <c r="H272" s="64" t="n">
        <f aca="false">H271-H270</f>
        <v>7484.21651430028</v>
      </c>
    </row>
    <row r="273" customFormat="false" ht="15" hidden="false" customHeight="true" outlineLevel="0" collapsed="false">
      <c r="A273" s="61" t="s">
        <v>391</v>
      </c>
      <c r="B273" s="62"/>
      <c r="C273" s="62"/>
      <c r="D273" s="62"/>
      <c r="E273" s="62"/>
      <c r="F273" s="62"/>
      <c r="G273" s="70" t="n">
        <f aca="false">G272/G271</f>
        <v>0.65263203956156</v>
      </c>
      <c r="H273" s="70" t="n">
        <f aca="false">H272/H271</f>
        <v>0.623684709525023</v>
      </c>
    </row>
    <row r="275" customFormat="false" ht="15" hidden="false" customHeight="true" outlineLevel="0" collapsed="false">
      <c r="A275" s="22" t="s">
        <v>453</v>
      </c>
      <c r="B275" s="55" t="s">
        <v>454</v>
      </c>
      <c r="C275" s="23"/>
      <c r="D275" s="23"/>
      <c r="E275" s="23"/>
      <c r="F275" s="23"/>
      <c r="G275" s="23"/>
      <c r="H275" s="23"/>
    </row>
    <row r="276" customFormat="false" ht="129.75" hidden="false" customHeight="true" outlineLevel="0" collapsed="false">
      <c r="A276" s="26" t="s">
        <v>361</v>
      </c>
      <c r="B276" s="56" t="s">
        <v>455</v>
      </c>
      <c r="C276" s="56"/>
      <c r="D276" s="56"/>
      <c r="E276" s="56"/>
      <c r="F276" s="56"/>
      <c r="G276" s="56"/>
      <c r="H276" s="56"/>
    </row>
    <row r="277" customFormat="false" ht="23.25" hidden="false" customHeight="true" outlineLevel="0" collapsed="false">
      <c r="A277" s="24" t="s">
        <v>363</v>
      </c>
      <c r="B277" s="25" t="s">
        <v>364</v>
      </c>
      <c r="C277" s="25" t="s">
        <v>365</v>
      </c>
      <c r="D277" s="25" t="s">
        <v>366</v>
      </c>
      <c r="E277" s="25" t="s">
        <v>367</v>
      </c>
      <c r="F277" s="25" t="s">
        <v>368</v>
      </c>
      <c r="G277" s="25" t="s">
        <v>369</v>
      </c>
      <c r="H277" s="25" t="s">
        <v>370</v>
      </c>
    </row>
    <row r="278" customFormat="false" ht="15" hidden="false" customHeight="true" outlineLevel="0" collapsed="false">
      <c r="A278" s="26" t="s">
        <v>419</v>
      </c>
      <c r="B278" s="57" t="n">
        <v>1</v>
      </c>
      <c r="C278" s="57" t="n">
        <f aca="false">B278*1.3</f>
        <v>1.3</v>
      </c>
      <c r="D278" s="58" t="n">
        <f aca="false">'Product Costs'!H41</f>
        <v>0.144369924279064</v>
      </c>
      <c r="E278" s="59" t="n">
        <f aca="false">B278*D278</f>
        <v>0.144369924279064</v>
      </c>
      <c r="F278" s="59" t="n">
        <f aca="false">C278*D278</f>
        <v>0.187680901562783</v>
      </c>
      <c r="G278" s="60" t="n">
        <f aca="false">E278*Assumptions!$B$5</f>
        <v>19.4899397776736</v>
      </c>
      <c r="H278" s="60" t="n">
        <f aca="false">F278*Assumptions!$B$5</f>
        <v>25.3369217109757</v>
      </c>
    </row>
    <row r="279" customFormat="false" ht="15" hidden="false" customHeight="true" outlineLevel="0" collapsed="false">
      <c r="A279" s="26" t="s">
        <v>420</v>
      </c>
      <c r="B279" s="57" t="n">
        <v>1</v>
      </c>
      <c r="C279" s="57" t="n">
        <f aca="false">B279*1.3</f>
        <v>1.3</v>
      </c>
      <c r="D279" s="58" t="n">
        <f aca="false">'Product Costs'!H68</f>
        <v>0.385467697825101</v>
      </c>
      <c r="E279" s="59" t="n">
        <f aca="false">B279*D279</f>
        <v>0.385467697825101</v>
      </c>
      <c r="F279" s="59" t="n">
        <f aca="false">C279*D279</f>
        <v>0.501108007172631</v>
      </c>
      <c r="G279" s="60" t="n">
        <f aca="false">E279*Assumptions!$B$5</f>
        <v>52.0381392063886</v>
      </c>
      <c r="H279" s="60" t="n">
        <f aca="false">F279*Assumptions!$B$5</f>
        <v>67.6495809683052</v>
      </c>
    </row>
    <row r="280" customFormat="false" ht="15" hidden="false" customHeight="true" outlineLevel="0" collapsed="false">
      <c r="A280" s="26" t="s">
        <v>416</v>
      </c>
      <c r="B280" s="57" t="n">
        <v>1</v>
      </c>
      <c r="C280" s="57" t="n">
        <f aca="false">B280*1.3</f>
        <v>1.3</v>
      </c>
      <c r="D280" s="58" t="n">
        <f aca="false">'Product Costs'!H38</f>
        <v>0.90466908673238</v>
      </c>
      <c r="E280" s="59" t="n">
        <f aca="false">B280*D280</f>
        <v>0.90466908673238</v>
      </c>
      <c r="F280" s="59" t="n">
        <f aca="false">C280*D280</f>
        <v>1.17606981275209</v>
      </c>
      <c r="G280" s="60" t="n">
        <f aca="false">E280*Assumptions!$B$5</f>
        <v>122.130326708871</v>
      </c>
      <c r="H280" s="60" t="n">
        <f aca="false">F280*Assumptions!$B$5</f>
        <v>158.769424721533</v>
      </c>
    </row>
    <row r="281" customFormat="false" ht="15" hidden="false" customHeight="true" outlineLevel="0" collapsed="false">
      <c r="A281" s="26" t="s">
        <v>417</v>
      </c>
      <c r="B281" s="57" t="n">
        <v>1</v>
      </c>
      <c r="C281" s="57" t="n">
        <f aca="false">B281*1.3</f>
        <v>1.3</v>
      </c>
      <c r="D281" s="58" t="n">
        <f aca="false">'Product Costs'!H39</f>
        <v>0.90466908673238</v>
      </c>
      <c r="E281" s="59" t="n">
        <f aca="false">B281*D281</f>
        <v>0.90466908673238</v>
      </c>
      <c r="F281" s="59" t="n">
        <f aca="false">C281*D281</f>
        <v>1.17606981275209</v>
      </c>
      <c r="G281" s="60" t="n">
        <f aca="false">E281*Assumptions!$B$5</f>
        <v>122.130326708871</v>
      </c>
      <c r="H281" s="60" t="n">
        <f aca="false">F281*Assumptions!$B$5</f>
        <v>158.769424721533</v>
      </c>
    </row>
    <row r="282" customFormat="false" ht="15" hidden="false" customHeight="true" outlineLevel="0" collapsed="false">
      <c r="A282" s="26" t="s">
        <v>418</v>
      </c>
      <c r="B282" s="57" t="n">
        <v>1</v>
      </c>
      <c r="C282" s="57" t="n">
        <f aca="false">B282*1.3</f>
        <v>1.3</v>
      </c>
      <c r="D282" s="58" t="n">
        <f aca="false">'Product Costs'!H40</f>
        <v>0.90466908673238</v>
      </c>
      <c r="E282" s="59" t="n">
        <f aca="false">B282*D282</f>
        <v>0.90466908673238</v>
      </c>
      <c r="F282" s="59" t="n">
        <f aca="false">C282*D282</f>
        <v>1.17606981275209</v>
      </c>
      <c r="G282" s="60" t="n">
        <f aca="false">E282*Assumptions!$B$5</f>
        <v>122.130326708871</v>
      </c>
      <c r="H282" s="60" t="n">
        <f aca="false">F282*Assumptions!$B$5</f>
        <v>158.769424721533</v>
      </c>
    </row>
    <row r="283" customFormat="false" ht="15" hidden="false" customHeight="true" outlineLevel="0" collapsed="false">
      <c r="A283" s="26" t="s">
        <v>428</v>
      </c>
      <c r="B283" s="57" t="n">
        <v>1</v>
      </c>
      <c r="C283" s="57" t="n">
        <f aca="false">B283*1.3</f>
        <v>1.3</v>
      </c>
      <c r="D283" s="58" t="n">
        <f aca="false">'Product Costs'!H44</f>
        <v>0.371700994331347</v>
      </c>
      <c r="E283" s="59" t="n">
        <f aca="false">B283*D283</f>
        <v>0.371700994331347</v>
      </c>
      <c r="F283" s="59" t="n">
        <f aca="false">C283*D283</f>
        <v>0.483211292630752</v>
      </c>
      <c r="G283" s="60" t="n">
        <f aca="false">E283*Assumptions!$B$5</f>
        <v>50.1796342347319</v>
      </c>
      <c r="H283" s="60" t="n">
        <f aca="false">F283*Assumptions!$B$5</f>
        <v>65.2335245051515</v>
      </c>
    </row>
    <row r="284" customFormat="false" ht="15" hidden="false" customHeight="true" outlineLevel="0" collapsed="false">
      <c r="A284" s="26" t="s">
        <v>429</v>
      </c>
      <c r="B284" s="57" t="n">
        <v>1</v>
      </c>
      <c r="C284" s="57" t="n">
        <f aca="false">B284*1.3</f>
        <v>1.3</v>
      </c>
      <c r="D284" s="58" t="n">
        <f aca="false">'Product Costs'!H45</f>
        <v>0.247800662887565</v>
      </c>
      <c r="E284" s="59" t="n">
        <f aca="false">B284*D284</f>
        <v>0.247800662887565</v>
      </c>
      <c r="F284" s="59" t="n">
        <f aca="false">C284*D284</f>
        <v>0.322140861753834</v>
      </c>
      <c r="G284" s="60" t="n">
        <f aca="false">E284*Assumptions!$B$5</f>
        <v>33.4530894898213</v>
      </c>
      <c r="H284" s="60" t="n">
        <f aca="false">F284*Assumptions!$B$5</f>
        <v>43.4890163367677</v>
      </c>
    </row>
    <row r="285" customFormat="false" ht="15" hidden="false" customHeight="true" outlineLevel="0" collapsed="false">
      <c r="A285" s="26" t="s">
        <v>430</v>
      </c>
      <c r="B285" s="57" t="n">
        <v>1</v>
      </c>
      <c r="C285" s="57" t="n">
        <f aca="false">B285*1.3</f>
        <v>1.3</v>
      </c>
      <c r="D285" s="58" t="n">
        <f aca="false">'Product Costs'!H46</f>
        <v>0.105659449314559</v>
      </c>
      <c r="E285" s="59" t="n">
        <f aca="false">B285*D285</f>
        <v>0.105659449314559</v>
      </c>
      <c r="F285" s="59" t="n">
        <f aca="false">C285*D285</f>
        <v>0.137357284108927</v>
      </c>
      <c r="G285" s="60" t="n">
        <f aca="false">E285*Assumptions!$B$5</f>
        <v>14.2640256574655</v>
      </c>
      <c r="H285" s="60" t="n">
        <f aca="false">F285*Assumptions!$B$5</f>
        <v>18.5432333547051</v>
      </c>
    </row>
    <row r="286" customFormat="false" ht="15" hidden="false" customHeight="true" outlineLevel="0" collapsed="false">
      <c r="A286" s="26" t="s">
        <v>432</v>
      </c>
      <c r="B286" s="57" t="n">
        <v>1</v>
      </c>
      <c r="C286" s="57" t="n">
        <f aca="false">B286*1.3</f>
        <v>1.3</v>
      </c>
      <c r="D286" s="58" t="n">
        <f aca="false">'Product Costs'!H69</f>
        <v>0.0454301215293869</v>
      </c>
      <c r="E286" s="59" t="n">
        <f aca="false">B286*D286</f>
        <v>0.0454301215293869</v>
      </c>
      <c r="F286" s="59" t="n">
        <f aca="false">C286*D286</f>
        <v>0.059059157988203</v>
      </c>
      <c r="G286" s="60" t="n">
        <f aca="false">E286*Assumptions!$B$5</f>
        <v>6.13306640646723</v>
      </c>
      <c r="H286" s="60" t="n">
        <f aca="false">F286*Assumptions!$B$5</f>
        <v>7.9729863284074</v>
      </c>
    </row>
    <row r="287" customFormat="false" ht="15" hidden="false" customHeight="true" outlineLevel="0" collapsed="false">
      <c r="A287" s="26" t="s">
        <v>427</v>
      </c>
      <c r="B287" s="57" t="n">
        <v>1</v>
      </c>
      <c r="C287" s="57" t="n">
        <f aca="false">B287*1.3</f>
        <v>1.3</v>
      </c>
      <c r="D287" s="58" t="n">
        <f aca="false">'Product Costs'!H30</f>
        <v>0.289825336710602</v>
      </c>
      <c r="E287" s="59" t="n">
        <f aca="false">B287*D287</f>
        <v>0.289825336710602</v>
      </c>
      <c r="F287" s="59" t="n">
        <f aca="false">C287*D287</f>
        <v>0.376772937723783</v>
      </c>
      <c r="G287" s="60" t="n">
        <f aca="false">E287*Assumptions!$B$5</f>
        <v>39.1264204559313</v>
      </c>
      <c r="H287" s="60" t="n">
        <f aca="false">F287*Assumptions!$B$5</f>
        <v>50.8643465927107</v>
      </c>
    </row>
    <row r="288" customFormat="false" ht="15" hidden="false" customHeight="true" outlineLevel="0" collapsed="false">
      <c r="A288" s="26" t="s">
        <v>410</v>
      </c>
      <c r="B288" s="57" t="n">
        <v>0.5</v>
      </c>
      <c r="C288" s="57" t="n">
        <f aca="false">B288*1.3</f>
        <v>0.65</v>
      </c>
      <c r="D288" s="58" t="n">
        <f aca="false">'Product Costs'!H12</f>
        <v>0.137667034937536</v>
      </c>
      <c r="E288" s="59" t="n">
        <f aca="false">B288*D288</f>
        <v>0.068833517468768</v>
      </c>
      <c r="F288" s="59" t="n">
        <f aca="false">C288*D288</f>
        <v>0.0894835727093985</v>
      </c>
      <c r="G288" s="60" t="n">
        <f aca="false">E288*Assumptions!$B$5</f>
        <v>9.29252485828368</v>
      </c>
      <c r="H288" s="60" t="n">
        <f aca="false">F288*Assumptions!$B$5</f>
        <v>12.0802823157688</v>
      </c>
    </row>
    <row r="289" customFormat="false" ht="15" hidden="false" customHeight="true" outlineLevel="0" collapsed="false">
      <c r="A289" s="26" t="s">
        <v>402</v>
      </c>
      <c r="B289" s="57" t="n">
        <v>0.2</v>
      </c>
      <c r="C289" s="57" t="n">
        <f aca="false">B289*1.3</f>
        <v>0.26</v>
      </c>
      <c r="D289" s="58" t="n">
        <f aca="false">'Product Costs'!H53</f>
        <v>0.137667034937536</v>
      </c>
      <c r="E289" s="59" t="n">
        <f aca="false">B289*D289</f>
        <v>0.0275334069875072</v>
      </c>
      <c r="F289" s="59" t="n">
        <f aca="false">C289*D289</f>
        <v>0.0357934290837594</v>
      </c>
      <c r="G289" s="60" t="n">
        <f aca="false">E289*Assumptions!$B$5</f>
        <v>3.71700994331347</v>
      </c>
      <c r="H289" s="60" t="n">
        <f aca="false">F289*Assumptions!$B$5</f>
        <v>4.83211292630752</v>
      </c>
    </row>
    <row r="290" customFormat="false" ht="15" hidden="false" customHeight="true" outlineLevel="0" collapsed="false">
      <c r="A290" s="26" t="s">
        <v>441</v>
      </c>
      <c r="B290" s="57" t="n">
        <v>1</v>
      </c>
      <c r="C290" s="57" t="n">
        <f aca="false">B290*1.3</f>
        <v>1.3</v>
      </c>
      <c r="D290" s="58" t="n">
        <f aca="false">'Product Costs'!H52</f>
        <v>0.0413001104812608</v>
      </c>
      <c r="E290" s="59" t="n">
        <f aca="false">B290*D290</f>
        <v>0.0413001104812608</v>
      </c>
      <c r="F290" s="59" t="n">
        <f aca="false">C290*D290</f>
        <v>0.0536901436256391</v>
      </c>
      <c r="G290" s="60" t="n">
        <f aca="false">E290*Assumptions!$B$5</f>
        <v>5.57551491497021</v>
      </c>
      <c r="H290" s="60" t="n">
        <f aca="false">F290*Assumptions!$B$5</f>
        <v>7.24816938946128</v>
      </c>
    </row>
    <row r="291" customFormat="false" ht="15" hidden="false" customHeight="true" outlineLevel="0" collapsed="false">
      <c r="A291" s="61" t="s">
        <v>386</v>
      </c>
      <c r="B291" s="62"/>
      <c r="C291" s="62"/>
      <c r="D291" s="62"/>
      <c r="E291" s="63" t="n">
        <f aca="false">SUM(E278:E290)</f>
        <v>4.4419284820123</v>
      </c>
      <c r="F291" s="63" t="n">
        <f aca="false">SUM(F278:F290)</f>
        <v>5.77450702661599</v>
      </c>
      <c r="G291" s="64" t="n">
        <f aca="false">E291*Assumptions!$B$5</f>
        <v>599.660345071661</v>
      </c>
      <c r="H291" s="64" t="n">
        <f aca="false">F291*Assumptions!$B$5</f>
        <v>779.558448593159</v>
      </c>
    </row>
    <row r="292" customFormat="false" ht="15" hidden="false" customHeight="true" outlineLevel="0" collapsed="false">
      <c r="A292" s="26" t="s">
        <v>436</v>
      </c>
      <c r="E292" s="65" t="n">
        <f aca="false">E291*0.25</f>
        <v>1.11048212050308</v>
      </c>
      <c r="F292" s="65" t="n">
        <f aca="false">F291*0.25</f>
        <v>1.443626756654</v>
      </c>
      <c r="G292" s="28" t="n">
        <f aca="false">E292*Assumptions!$B$5</f>
        <v>149.915086267915</v>
      </c>
      <c r="H292" s="28" t="n">
        <f aca="false">F292*Assumptions!$B$5</f>
        <v>194.88961214829</v>
      </c>
    </row>
    <row r="293" customFormat="false" ht="15" hidden="false" customHeight="true" outlineLevel="0" collapsed="false">
      <c r="A293" s="61" t="s">
        <v>388</v>
      </c>
      <c r="B293" s="62"/>
      <c r="C293" s="62"/>
      <c r="D293" s="62"/>
      <c r="E293" s="63" t="n">
        <f aca="false">E291+E292</f>
        <v>5.55241060251538</v>
      </c>
      <c r="F293" s="63" t="n">
        <f aca="false">F291+F292</f>
        <v>7.21813378326999</v>
      </c>
      <c r="G293" s="64" t="n">
        <f aca="false">E293*Assumptions!$B$5</f>
        <v>749.575431339576</v>
      </c>
      <c r="H293" s="64" t="n">
        <f aca="false">F293*Assumptions!$B$5</f>
        <v>974.448060741449</v>
      </c>
    </row>
    <row r="294" customFormat="false" ht="15" hidden="false" customHeight="true" outlineLevel="0" collapsed="false">
      <c r="A294" s="66" t="s">
        <v>389</v>
      </c>
      <c r="B294" s="67"/>
      <c r="C294" s="67"/>
      <c r="D294" s="67"/>
      <c r="E294" s="68" t="n">
        <f aca="false">G294/Assumptions!$B$5</f>
        <v>162.962962962963</v>
      </c>
      <c r="F294" s="68" t="n">
        <f aca="false">H294/Assumptions!$B$5</f>
        <v>207.407407407407</v>
      </c>
      <c r="G294" s="69" t="n">
        <v>22000</v>
      </c>
      <c r="H294" s="69" t="n">
        <v>28000</v>
      </c>
    </row>
    <row r="295" customFormat="false" ht="15" hidden="false" customHeight="true" outlineLevel="0" collapsed="false">
      <c r="A295" s="61" t="s">
        <v>390</v>
      </c>
      <c r="B295" s="62"/>
      <c r="C295" s="62"/>
      <c r="D295" s="62"/>
      <c r="E295" s="63" t="n">
        <f aca="false">E294-E293</f>
        <v>157.410552360448</v>
      </c>
      <c r="F295" s="63" t="n">
        <f aca="false">F294-F293</f>
        <v>200.189273624137</v>
      </c>
      <c r="G295" s="64" t="n">
        <f aca="false">G294-G293</f>
        <v>21250.4245686604</v>
      </c>
      <c r="H295" s="64" t="n">
        <f aca="false">H294-H293</f>
        <v>27025.5519392586</v>
      </c>
    </row>
    <row r="296" customFormat="false" ht="15" hidden="false" customHeight="true" outlineLevel="0" collapsed="false">
      <c r="A296" s="61" t="s">
        <v>391</v>
      </c>
      <c r="B296" s="62"/>
      <c r="C296" s="62"/>
      <c r="D296" s="62"/>
      <c r="E296" s="62"/>
      <c r="F296" s="62"/>
      <c r="G296" s="70" t="n">
        <f aca="false">G295/G294</f>
        <v>0.965928389484565</v>
      </c>
      <c r="H296" s="70" t="n">
        <f aca="false">H295/H294</f>
        <v>0.965198283544948</v>
      </c>
    </row>
    <row r="298" customFormat="false" ht="15" hidden="false" customHeight="true" outlineLevel="0" collapsed="false">
      <c r="A298" s="22" t="s">
        <v>456</v>
      </c>
      <c r="B298" s="55" t="s">
        <v>457</v>
      </c>
      <c r="C298" s="23"/>
      <c r="D298" s="23"/>
      <c r="E298" s="23"/>
      <c r="F298" s="23"/>
      <c r="G298" s="23"/>
      <c r="H298" s="23"/>
    </row>
    <row r="299" customFormat="false" ht="360" hidden="false" customHeight="true" outlineLevel="0" collapsed="false">
      <c r="A299" s="26" t="s">
        <v>361</v>
      </c>
      <c r="B299" s="56" t="s">
        <v>458</v>
      </c>
      <c r="C299" s="56"/>
      <c r="D299" s="56"/>
      <c r="E299" s="56"/>
      <c r="F299" s="56"/>
      <c r="G299" s="56"/>
      <c r="H299" s="56"/>
    </row>
    <row r="300" customFormat="false" ht="23.25" hidden="false" customHeight="true" outlineLevel="0" collapsed="false">
      <c r="A300" s="24" t="s">
        <v>363</v>
      </c>
      <c r="B300" s="25" t="s">
        <v>364</v>
      </c>
      <c r="C300" s="25" t="s">
        <v>365</v>
      </c>
      <c r="D300" s="25" t="s">
        <v>366</v>
      </c>
      <c r="E300" s="25" t="s">
        <v>367</v>
      </c>
      <c r="F300" s="25" t="s">
        <v>368</v>
      </c>
      <c r="G300" s="25" t="s">
        <v>369</v>
      </c>
      <c r="H300" s="25" t="s">
        <v>370</v>
      </c>
    </row>
    <row r="301" customFormat="false" ht="15" hidden="false" customHeight="true" outlineLevel="0" collapsed="false">
      <c r="A301" s="26" t="s">
        <v>423</v>
      </c>
      <c r="B301" s="57" t="n">
        <v>2</v>
      </c>
      <c r="C301" s="57" t="n">
        <f aca="false">B301*1.3</f>
        <v>2.6</v>
      </c>
      <c r="D301" s="58" t="n">
        <f aca="false">'Product Costs'!H25</f>
        <v>0.535829776702985</v>
      </c>
      <c r="E301" s="59" t="n">
        <f aca="false">B301*D301</f>
        <v>1.07165955340597</v>
      </c>
      <c r="F301" s="59" t="n">
        <f aca="false">C301*D301</f>
        <v>1.39315741942776</v>
      </c>
      <c r="G301" s="60" t="n">
        <f aca="false">E301*Assumptions!$B$5</f>
        <v>144.674039709806</v>
      </c>
      <c r="H301" s="60" t="n">
        <f aca="false">F301*Assumptions!$B$5</f>
        <v>188.076251622748</v>
      </c>
    </row>
    <row r="302" customFormat="false" ht="15" hidden="false" customHeight="true" outlineLevel="0" collapsed="false">
      <c r="A302" s="26" t="s">
        <v>374</v>
      </c>
      <c r="B302" s="57" t="n">
        <v>1.5</v>
      </c>
      <c r="C302" s="57" t="n">
        <f aca="false">B302*1.3</f>
        <v>1.95</v>
      </c>
      <c r="D302" s="58" t="n">
        <f aca="false">'Product Costs'!H20</f>
        <v>0.206500552406304</v>
      </c>
      <c r="E302" s="59" t="n">
        <f aca="false">B302*D302</f>
        <v>0.309750828609456</v>
      </c>
      <c r="F302" s="59" t="n">
        <f aca="false">C302*D302</f>
        <v>0.402676077192293</v>
      </c>
      <c r="G302" s="60" t="n">
        <f aca="false">E302*Assumptions!$B$5</f>
        <v>41.8163618622766</v>
      </c>
      <c r="H302" s="60" t="n">
        <f aca="false">F302*Assumptions!$B$5</f>
        <v>54.3612704209596</v>
      </c>
    </row>
    <row r="303" customFormat="false" ht="15" hidden="false" customHeight="true" outlineLevel="0" collapsed="false">
      <c r="A303" s="26" t="s">
        <v>373</v>
      </c>
      <c r="B303" s="57" t="n">
        <v>1.5</v>
      </c>
      <c r="C303" s="57" t="n">
        <f aca="false">B303*1.3</f>
        <v>1.95</v>
      </c>
      <c r="D303" s="58" t="n">
        <f aca="false">'Product Costs'!H10</f>
        <v>0.917780232916907</v>
      </c>
      <c r="E303" s="59" t="n">
        <f aca="false">B303*D303</f>
        <v>1.37667034937536</v>
      </c>
      <c r="F303" s="59" t="n">
        <f aca="false">C303*D303</f>
        <v>1.78967145418797</v>
      </c>
      <c r="G303" s="60" t="n">
        <f aca="false">E303*Assumptions!$B$5</f>
        <v>185.850497165674</v>
      </c>
      <c r="H303" s="60" t="n">
        <f aca="false">F303*Assumptions!$B$5</f>
        <v>241.605646315376</v>
      </c>
    </row>
    <row r="304" customFormat="false" ht="15" hidden="false" customHeight="true" outlineLevel="0" collapsed="false">
      <c r="A304" s="26" t="s">
        <v>427</v>
      </c>
      <c r="B304" s="57" t="n">
        <v>1</v>
      </c>
      <c r="C304" s="57" t="n">
        <f aca="false">B304*1.3</f>
        <v>1.3</v>
      </c>
      <c r="D304" s="58" t="n">
        <f aca="false">'Product Costs'!H30</f>
        <v>0.289825336710602</v>
      </c>
      <c r="E304" s="59" t="n">
        <f aca="false">B304*D304</f>
        <v>0.289825336710602</v>
      </c>
      <c r="F304" s="59" t="n">
        <f aca="false">C304*D304</f>
        <v>0.376772937723783</v>
      </c>
      <c r="G304" s="60" t="n">
        <f aca="false">E304*Assumptions!$B$5</f>
        <v>39.1264204559313</v>
      </c>
      <c r="H304" s="60" t="n">
        <f aca="false">F304*Assumptions!$B$5</f>
        <v>50.8643465927107</v>
      </c>
    </row>
    <row r="305" customFormat="false" ht="15" hidden="false" customHeight="true" outlineLevel="0" collapsed="false">
      <c r="A305" s="26" t="s">
        <v>379</v>
      </c>
      <c r="B305" s="57" t="n">
        <v>1</v>
      </c>
      <c r="C305" s="57" t="n">
        <f aca="false">B305*1.3</f>
        <v>1.3</v>
      </c>
      <c r="D305" s="58" t="n">
        <f aca="false">'Product Costs'!H22</f>
        <v>0.313499188471617</v>
      </c>
      <c r="E305" s="59" t="n">
        <f aca="false">B305*D305</f>
        <v>0.313499188471617</v>
      </c>
      <c r="F305" s="59" t="n">
        <f aca="false">C305*D305</f>
        <v>0.407548945013102</v>
      </c>
      <c r="G305" s="60" t="n">
        <f aca="false">E305*Assumptions!$B$5</f>
        <v>42.3223904436683</v>
      </c>
      <c r="H305" s="60" t="n">
        <f aca="false">F305*Assumptions!$B$5</f>
        <v>55.0191075767688</v>
      </c>
    </row>
    <row r="306" customFormat="false" ht="15" hidden="false" customHeight="true" outlineLevel="0" collapsed="false">
      <c r="A306" s="26" t="s">
        <v>375</v>
      </c>
      <c r="B306" s="57" t="n">
        <v>1</v>
      </c>
      <c r="C306" s="57" t="n">
        <f aca="false">B306*1.3</f>
        <v>1.3</v>
      </c>
      <c r="D306" s="58" t="n">
        <f aca="false">'Product Costs'!H19</f>
        <v>0.289100773368826</v>
      </c>
      <c r="E306" s="59" t="n">
        <f aca="false">B306*D306</f>
        <v>0.289100773368826</v>
      </c>
      <c r="F306" s="59" t="n">
        <f aca="false">C306*D306</f>
        <v>0.375831005379474</v>
      </c>
      <c r="G306" s="60" t="n">
        <f aca="false">E306*Assumptions!$B$5</f>
        <v>39.0286044047915</v>
      </c>
      <c r="H306" s="60" t="n">
        <f aca="false">F306*Assumptions!$B$5</f>
        <v>50.7371857262289</v>
      </c>
    </row>
    <row r="307" customFormat="false" ht="15" hidden="false" customHeight="true" outlineLevel="0" collapsed="false">
      <c r="A307" s="26" t="s">
        <v>376</v>
      </c>
      <c r="B307" s="57" t="n">
        <v>1</v>
      </c>
      <c r="C307" s="57" t="n">
        <f aca="false">B307*1.3</f>
        <v>1.3</v>
      </c>
      <c r="D307" s="58" t="n">
        <f aca="false">'Product Costs'!H18</f>
        <v>0.68833517468768</v>
      </c>
      <c r="E307" s="59" t="n">
        <f aca="false">B307*D307</f>
        <v>0.68833517468768</v>
      </c>
      <c r="F307" s="59" t="n">
        <f aca="false">C307*D307</f>
        <v>0.894835727093985</v>
      </c>
      <c r="G307" s="60" t="n">
        <f aca="false">E307*Assumptions!$B$5</f>
        <v>92.9252485828368</v>
      </c>
      <c r="H307" s="60" t="n">
        <f aca="false">F307*Assumptions!$B$5</f>
        <v>120.802823157688</v>
      </c>
    </row>
    <row r="308" customFormat="false" ht="15" hidden="false" customHeight="true" outlineLevel="0" collapsed="false">
      <c r="A308" s="26" t="s">
        <v>378</v>
      </c>
      <c r="B308" s="57" t="n">
        <v>1</v>
      </c>
      <c r="C308" s="57" t="n">
        <f aca="false">B308*1.3</f>
        <v>1.3</v>
      </c>
      <c r="D308" s="58" t="n">
        <f aca="false">'Product Costs'!H24</f>
        <v>0.715868581675188</v>
      </c>
      <c r="E308" s="59" t="n">
        <f aca="false">B308*D308</f>
        <v>0.715868581675188</v>
      </c>
      <c r="F308" s="59" t="n">
        <f aca="false">C308*D308</f>
        <v>0.930629156177744</v>
      </c>
      <c r="G308" s="60" t="n">
        <f aca="false">E308*Assumptions!$B$5</f>
        <v>96.6422585261503</v>
      </c>
      <c r="H308" s="60" t="n">
        <f aca="false">F308*Assumptions!$B$5</f>
        <v>125.634936083995</v>
      </c>
    </row>
    <row r="309" customFormat="false" ht="15" hidden="false" customHeight="true" outlineLevel="0" collapsed="false">
      <c r="A309" s="26" t="s">
        <v>425</v>
      </c>
      <c r="B309" s="57" t="n">
        <v>0.2</v>
      </c>
      <c r="C309" s="57" t="n">
        <f aca="false">B309*1.3</f>
        <v>0.26</v>
      </c>
      <c r="D309" s="58" t="n">
        <f aca="false">'Product Costs'!H70</f>
        <v>1.5418707913004</v>
      </c>
      <c r="E309" s="59" t="n">
        <f aca="false">B309*D309</f>
        <v>0.308374158260081</v>
      </c>
      <c r="F309" s="59" t="n">
        <f aca="false">C309*D309</f>
        <v>0.400886405738105</v>
      </c>
      <c r="G309" s="60" t="n">
        <f aca="false">E309*Assumptions!$B$5</f>
        <v>41.6305113651109</v>
      </c>
      <c r="H309" s="60" t="n">
        <f aca="false">F309*Assumptions!$B$5</f>
        <v>54.1196647746442</v>
      </c>
    </row>
    <row r="310" customFormat="false" ht="15" hidden="false" customHeight="true" outlineLevel="0" collapsed="false">
      <c r="A310" s="26" t="s">
        <v>395</v>
      </c>
      <c r="B310" s="57" t="n">
        <v>1.5</v>
      </c>
      <c r="C310" s="57" t="n">
        <f aca="false">B310*1.3</f>
        <v>1.95</v>
      </c>
      <c r="D310" s="58" t="n">
        <f aca="false">'Product Costs'!H21</f>
        <v>0.41403619530086</v>
      </c>
      <c r="E310" s="59" t="n">
        <f aca="false">B310*D310</f>
        <v>0.621054292951291</v>
      </c>
      <c r="F310" s="59" t="n">
        <f aca="false">C310*D310</f>
        <v>0.807370580836678</v>
      </c>
      <c r="G310" s="60" t="n">
        <f aca="false">E310*Assumptions!$B$5</f>
        <v>83.8423295484242</v>
      </c>
      <c r="H310" s="60" t="n">
        <f aca="false">F310*Assumptions!$B$5</f>
        <v>108.995028412951</v>
      </c>
    </row>
    <row r="311" customFormat="false" ht="15" hidden="false" customHeight="true" outlineLevel="0" collapsed="false">
      <c r="A311" s="26" t="s">
        <v>380</v>
      </c>
      <c r="B311" s="57" t="n">
        <v>0.8</v>
      </c>
      <c r="C311" s="57" t="n">
        <f aca="false">B311*1.3</f>
        <v>1.04</v>
      </c>
      <c r="D311" s="58" t="n">
        <f aca="false">'Product Costs'!H49</f>
        <v>0.0275334069875072</v>
      </c>
      <c r="E311" s="59" t="n">
        <f aca="false">B311*D311</f>
        <v>0.0220267255900058</v>
      </c>
      <c r="F311" s="59" t="n">
        <f aca="false">C311*D311</f>
        <v>0.0286347432670075</v>
      </c>
      <c r="G311" s="60" t="n">
        <f aca="false">E311*Assumptions!$B$5</f>
        <v>2.97360795465078</v>
      </c>
      <c r="H311" s="60" t="n">
        <f aca="false">F311*Assumptions!$B$5</f>
        <v>3.86569034104601</v>
      </c>
    </row>
    <row r="312" customFormat="false" ht="15" hidden="false" customHeight="true" outlineLevel="0" collapsed="false">
      <c r="A312" s="26" t="s">
        <v>402</v>
      </c>
      <c r="B312" s="57" t="n">
        <v>0.3</v>
      </c>
      <c r="C312" s="57" t="n">
        <f aca="false">B312*1.3</f>
        <v>0.39</v>
      </c>
      <c r="D312" s="58" t="n">
        <f aca="false">'Product Costs'!H53</f>
        <v>0.137667034937536</v>
      </c>
      <c r="E312" s="59" t="n">
        <f aca="false">B312*D312</f>
        <v>0.0413001104812608</v>
      </c>
      <c r="F312" s="59" t="n">
        <f aca="false">C312*D312</f>
        <v>0.0536901436256391</v>
      </c>
      <c r="G312" s="60" t="n">
        <f aca="false">E312*Assumptions!$B$5</f>
        <v>5.57551491497021</v>
      </c>
      <c r="H312" s="60" t="n">
        <f aca="false">F312*Assumptions!$B$5</f>
        <v>7.24816938946128</v>
      </c>
    </row>
    <row r="313" customFormat="false" ht="15" hidden="false" customHeight="true" outlineLevel="0" collapsed="false">
      <c r="A313" s="26" t="s">
        <v>382</v>
      </c>
      <c r="B313" s="57" t="n">
        <v>0.5</v>
      </c>
      <c r="C313" s="57" t="n">
        <f aca="false">B313*1.3</f>
        <v>0.65</v>
      </c>
      <c r="D313" s="58" t="n">
        <f aca="false">'Product Costs'!H47</f>
        <v>0.0413001104812608</v>
      </c>
      <c r="E313" s="59" t="n">
        <f aca="false">B313*D313</f>
        <v>0.0206500552406304</v>
      </c>
      <c r="F313" s="59" t="n">
        <f aca="false">C313*D313</f>
        <v>0.0268450718128195</v>
      </c>
      <c r="G313" s="60" t="n">
        <f aca="false">E313*Assumptions!$B$5</f>
        <v>2.78775745748511</v>
      </c>
      <c r="H313" s="60" t="n">
        <f aca="false">F313*Assumptions!$B$5</f>
        <v>3.62408469473064</v>
      </c>
    </row>
    <row r="314" customFormat="false" ht="15" hidden="false" customHeight="true" outlineLevel="0" collapsed="false">
      <c r="A314" s="26" t="s">
        <v>371</v>
      </c>
      <c r="B314" s="57" t="n">
        <v>1</v>
      </c>
      <c r="C314" s="57" t="n">
        <f aca="false">B314*1.3</f>
        <v>1.3</v>
      </c>
      <c r="D314" s="58" t="n">
        <f aca="false">'Product Costs'!H5</f>
        <v>0.082682903866388</v>
      </c>
      <c r="E314" s="59" t="n">
        <f aca="false">B314*D314</f>
        <v>0.082682903866388</v>
      </c>
      <c r="F314" s="59" t="n">
        <f aca="false">C314*D314</f>
        <v>0.107487775026304</v>
      </c>
      <c r="G314" s="60" t="n">
        <f aca="false">E314*Assumptions!$B$5</f>
        <v>11.1621920219624</v>
      </c>
      <c r="H314" s="60" t="n">
        <f aca="false">F314*Assumptions!$B$5</f>
        <v>14.5108496285511</v>
      </c>
    </row>
    <row r="315" customFormat="false" ht="15" hidden="false" customHeight="true" outlineLevel="0" collapsed="false">
      <c r="A315" s="26" t="s">
        <v>421</v>
      </c>
      <c r="B315" s="57" t="n">
        <v>1</v>
      </c>
      <c r="C315" s="57" t="n">
        <f aca="false">B315*1.3</f>
        <v>1.3</v>
      </c>
      <c r="D315" s="58" t="n">
        <f aca="false">'Product Costs'!H7</f>
        <v>0.491667981919772</v>
      </c>
      <c r="E315" s="59" t="n">
        <f aca="false">B315*D315</f>
        <v>0.491667981919772</v>
      </c>
      <c r="F315" s="59" t="n">
        <f aca="false">C315*D315</f>
        <v>0.639168376495703</v>
      </c>
      <c r="G315" s="60" t="n">
        <f aca="false">E315*Assumptions!$B$5</f>
        <v>66.3751775591692</v>
      </c>
      <c r="H315" s="60" t="n">
        <f aca="false">F315*Assumptions!$B$5</f>
        <v>86.2877308269199</v>
      </c>
    </row>
    <row r="316" customFormat="false" ht="15" hidden="false" customHeight="true" outlineLevel="0" collapsed="false">
      <c r="A316" s="26" t="s">
        <v>422</v>
      </c>
      <c r="B316" s="57" t="n">
        <v>1</v>
      </c>
      <c r="C316" s="57" t="n">
        <f aca="false">B316*1.3</f>
        <v>1.3</v>
      </c>
      <c r="D316" s="58" t="n">
        <f aca="false">'Product Costs'!H8</f>
        <v>0.491667981919772</v>
      </c>
      <c r="E316" s="59" t="n">
        <f aca="false">B316*D316</f>
        <v>0.491667981919772</v>
      </c>
      <c r="F316" s="59" t="n">
        <f aca="false">C316*D316</f>
        <v>0.639168376495703</v>
      </c>
      <c r="G316" s="60" t="n">
        <f aca="false">E316*Assumptions!$B$5</f>
        <v>66.3751775591692</v>
      </c>
      <c r="H316" s="60" t="n">
        <f aca="false">F316*Assumptions!$B$5</f>
        <v>86.2877308269199</v>
      </c>
    </row>
    <row r="317" customFormat="false" ht="15" hidden="false" customHeight="true" outlineLevel="0" collapsed="false">
      <c r="A317" s="26" t="s">
        <v>372</v>
      </c>
      <c r="B317" s="57" t="n">
        <v>1</v>
      </c>
      <c r="C317" s="57" t="n">
        <f aca="false">B317*1.3</f>
        <v>1.3</v>
      </c>
      <c r="D317" s="58" t="n">
        <f aca="false">'Product Costs'!H9</f>
        <v>0.619501657218912</v>
      </c>
      <c r="E317" s="59" t="n">
        <f aca="false">B317*D317</f>
        <v>0.619501657218912</v>
      </c>
      <c r="F317" s="59" t="n">
        <f aca="false">C317*D317</f>
        <v>0.805352154384586</v>
      </c>
      <c r="G317" s="60" t="n">
        <f aca="false">E317*Assumptions!$B$5</f>
        <v>83.6327237245532</v>
      </c>
      <c r="H317" s="60" t="n">
        <f aca="false">F317*Assumptions!$B$5</f>
        <v>108.722540841919</v>
      </c>
    </row>
    <row r="318" customFormat="false" ht="15" hidden="false" customHeight="true" outlineLevel="0" collapsed="false">
      <c r="A318" s="26" t="s">
        <v>401</v>
      </c>
      <c r="B318" s="57" t="n">
        <v>1</v>
      </c>
      <c r="C318" s="57" t="n">
        <f aca="false">B318*1.3</f>
        <v>1.3</v>
      </c>
      <c r="D318" s="58" t="n">
        <f aca="false">'Product Costs'!H11</f>
        <v>0.159693760527542</v>
      </c>
      <c r="E318" s="59" t="n">
        <f aca="false">B318*D318</f>
        <v>0.159693760527542</v>
      </c>
      <c r="F318" s="59" t="n">
        <f aca="false">C318*D318</f>
        <v>0.207601888685804</v>
      </c>
      <c r="G318" s="60" t="n">
        <f aca="false">E318*Assumptions!$B$5</f>
        <v>21.5586576712181</v>
      </c>
      <c r="H318" s="60" t="n">
        <f aca="false">F318*Assumptions!$B$5</f>
        <v>28.0262549725836</v>
      </c>
    </row>
    <row r="319" customFormat="false" ht="15" hidden="false" customHeight="true" outlineLevel="0" collapsed="false">
      <c r="A319" s="26" t="s">
        <v>396</v>
      </c>
      <c r="B319" s="57" t="n">
        <v>1</v>
      </c>
      <c r="C319" s="57" t="n">
        <f aca="false">B319*1.3</f>
        <v>1.3</v>
      </c>
      <c r="D319" s="58" t="n">
        <f aca="false">'Product Costs'!H23</f>
        <v>0.337284235596963</v>
      </c>
      <c r="E319" s="59" t="n">
        <f aca="false">B319*D319</f>
        <v>0.337284235596963</v>
      </c>
      <c r="F319" s="59" t="n">
        <f aca="false">C319*D319</f>
        <v>0.438469506276052</v>
      </c>
      <c r="G319" s="60" t="n">
        <f aca="false">E319*Assumptions!$B$5</f>
        <v>45.5333718055901</v>
      </c>
      <c r="H319" s="60" t="n">
        <f aca="false">F319*Assumptions!$B$5</f>
        <v>59.1933833472671</v>
      </c>
    </row>
    <row r="320" customFormat="false" ht="15" hidden="false" customHeight="true" outlineLevel="0" collapsed="false">
      <c r="A320" s="26" t="s">
        <v>397</v>
      </c>
      <c r="B320" s="57" t="n">
        <v>1</v>
      </c>
      <c r="C320" s="57" t="n">
        <f aca="false">B320*1.3</f>
        <v>1.3</v>
      </c>
      <c r="D320" s="58" t="n">
        <f aca="false">'Product Costs'!H33</f>
        <v>2.25273329897786</v>
      </c>
      <c r="E320" s="59" t="n">
        <f aca="false">B320*D320</f>
        <v>2.25273329897786</v>
      </c>
      <c r="F320" s="59" t="n">
        <f aca="false">C320*D320</f>
        <v>2.92855328867122</v>
      </c>
      <c r="G320" s="60" t="n">
        <f aca="false">E320*Assumptions!$B$5</f>
        <v>304.118995362012</v>
      </c>
      <c r="H320" s="60" t="n">
        <f aca="false">F320*Assumptions!$B$5</f>
        <v>395.354693970615</v>
      </c>
    </row>
    <row r="321" customFormat="false" ht="15" hidden="false" customHeight="true" outlineLevel="0" collapsed="false">
      <c r="A321" s="26" t="s">
        <v>411</v>
      </c>
      <c r="B321" s="57" t="n">
        <v>1.5</v>
      </c>
      <c r="C321" s="57" t="n">
        <f aca="false">B321*1.3</f>
        <v>1.95</v>
      </c>
      <c r="D321" s="58" t="n">
        <f aca="false">'Product Costs'!H42</f>
        <v>0.124024355799582</v>
      </c>
      <c r="E321" s="59" t="n">
        <f aca="false">B321*D321</f>
        <v>0.186036533699373</v>
      </c>
      <c r="F321" s="59" t="n">
        <f aca="false">C321*D321</f>
        <v>0.241847493809185</v>
      </c>
      <c r="G321" s="60" t="n">
        <f aca="false">E321*Assumptions!$B$5</f>
        <v>25.1149320494154</v>
      </c>
      <c r="H321" s="60" t="n">
        <f aca="false">F321*Assumptions!$B$5</f>
        <v>32.64941166424</v>
      </c>
    </row>
    <row r="322" customFormat="false" ht="15" hidden="false" customHeight="true" outlineLevel="0" collapsed="false">
      <c r="A322" s="26" t="s">
        <v>377</v>
      </c>
      <c r="B322" s="57" t="n">
        <v>1</v>
      </c>
      <c r="C322" s="57" t="n">
        <f aca="false">B322*1.3</f>
        <v>1.3</v>
      </c>
      <c r="D322" s="58" t="n">
        <f aca="false">'Product Costs'!H36</f>
        <v>0.385467697825101</v>
      </c>
      <c r="E322" s="59" t="n">
        <f aca="false">B322*D322</f>
        <v>0.385467697825101</v>
      </c>
      <c r="F322" s="59" t="n">
        <f aca="false">C322*D322</f>
        <v>0.501108007172631</v>
      </c>
      <c r="G322" s="60" t="n">
        <f aca="false">E322*Assumptions!$B$5</f>
        <v>52.0381392063886</v>
      </c>
      <c r="H322" s="60" t="n">
        <f aca="false">F322*Assumptions!$B$5</f>
        <v>67.6495809683052</v>
      </c>
    </row>
    <row r="323" customFormat="false" ht="15" hidden="false" customHeight="true" outlineLevel="0" collapsed="false">
      <c r="A323" s="26" t="s">
        <v>424</v>
      </c>
      <c r="B323" s="57" t="n">
        <v>1</v>
      </c>
      <c r="C323" s="57" t="n">
        <f aca="false">B323*1.3</f>
        <v>1.3</v>
      </c>
      <c r="D323" s="58" t="n">
        <f aca="false">'Product Costs'!H35</f>
        <v>9.63669244562752</v>
      </c>
      <c r="E323" s="59" t="n">
        <f aca="false">B323*D323</f>
        <v>9.63669244562752</v>
      </c>
      <c r="F323" s="59" t="n">
        <f aca="false">C323*D323</f>
        <v>12.5277001793158</v>
      </c>
      <c r="G323" s="60" t="n">
        <f aca="false">E323*Assumptions!$B$5</f>
        <v>1300.95348015972</v>
      </c>
      <c r="H323" s="60" t="n">
        <f aca="false">F323*Assumptions!$B$5</f>
        <v>1691.23952420763</v>
      </c>
    </row>
    <row r="324" customFormat="false" ht="15" hidden="false" customHeight="true" outlineLevel="0" collapsed="false">
      <c r="A324" s="26" t="s">
        <v>403</v>
      </c>
      <c r="B324" s="57" t="n">
        <v>1</v>
      </c>
      <c r="C324" s="57" t="n">
        <f aca="false">B324*1.3</f>
        <v>1.3</v>
      </c>
      <c r="D324" s="58" t="n">
        <f aca="false">'Product Costs'!H57</f>
        <v>0.0504779128104299</v>
      </c>
      <c r="E324" s="59" t="n">
        <f aca="false">B324*D324</f>
        <v>0.0504779128104299</v>
      </c>
      <c r="F324" s="59" t="n">
        <f aca="false">C324*D324</f>
        <v>0.0656212866535589</v>
      </c>
      <c r="G324" s="60" t="n">
        <f aca="false">E324*Assumptions!$B$5</f>
        <v>6.81451822940804</v>
      </c>
      <c r="H324" s="60" t="n">
        <f aca="false">F324*Assumptions!$B$5</f>
        <v>8.85887369823045</v>
      </c>
    </row>
    <row r="325" customFormat="false" ht="15" hidden="false" customHeight="true" outlineLevel="0" collapsed="false">
      <c r="A325" s="26" t="s">
        <v>404</v>
      </c>
      <c r="B325" s="57" t="n">
        <v>1</v>
      </c>
      <c r="C325" s="57" t="n">
        <f aca="false">B325*1.3</f>
        <v>1.3</v>
      </c>
      <c r="D325" s="58" t="n">
        <f aca="false">'Product Costs'!H58</f>
        <v>0.0183556046583381</v>
      </c>
      <c r="E325" s="59" t="n">
        <f aca="false">B325*D325</f>
        <v>0.0183556046583381</v>
      </c>
      <c r="F325" s="59" t="n">
        <f aca="false">C325*D325</f>
        <v>0.0238622860558396</v>
      </c>
      <c r="G325" s="60" t="n">
        <f aca="false">E325*Assumptions!$B$5</f>
        <v>2.47800662887565</v>
      </c>
      <c r="H325" s="60" t="n">
        <f aca="false">F325*Assumptions!$B$5</f>
        <v>3.22140861753834</v>
      </c>
    </row>
    <row r="326" customFormat="false" ht="15" hidden="false" customHeight="true" outlineLevel="0" collapsed="false">
      <c r="A326" s="26" t="s">
        <v>405</v>
      </c>
      <c r="B326" s="57" t="n">
        <v>1.5</v>
      </c>
      <c r="C326" s="57" t="n">
        <f aca="false">B326*1.3</f>
        <v>1.95</v>
      </c>
      <c r="D326" s="58" t="n">
        <f aca="false">'Product Costs'!H55</f>
        <v>0.0642446163041835</v>
      </c>
      <c r="E326" s="59" t="n">
        <f aca="false">B326*D326</f>
        <v>0.0963669244562752</v>
      </c>
      <c r="F326" s="59" t="n">
        <f aca="false">C326*D326</f>
        <v>0.125277001793158</v>
      </c>
      <c r="G326" s="60" t="n">
        <f aca="false">E326*Assumptions!$B$5</f>
        <v>13.0095348015972</v>
      </c>
      <c r="H326" s="60" t="n">
        <f aca="false">F326*Assumptions!$B$5</f>
        <v>16.9123952420763</v>
      </c>
    </row>
    <row r="327" customFormat="false" ht="15" hidden="false" customHeight="true" outlineLevel="0" collapsed="false">
      <c r="A327" s="26" t="s">
        <v>406</v>
      </c>
      <c r="B327" s="57" t="n">
        <v>1</v>
      </c>
      <c r="C327" s="57" t="n">
        <f aca="false">B327*1.3</f>
        <v>1.3</v>
      </c>
      <c r="D327" s="58" t="n">
        <f aca="false">'Product Costs'!H54</f>
        <v>0.0573612645573067</v>
      </c>
      <c r="E327" s="59" t="n">
        <f aca="false">B327*D327</f>
        <v>0.0573612645573067</v>
      </c>
      <c r="F327" s="59" t="n">
        <f aca="false">C327*D327</f>
        <v>0.0745696439244987</v>
      </c>
      <c r="G327" s="60" t="n">
        <f aca="false">E327*Assumptions!$B$5</f>
        <v>7.7437707152364</v>
      </c>
      <c r="H327" s="60" t="n">
        <f aca="false">F327*Assumptions!$B$5</f>
        <v>10.0669019298073</v>
      </c>
    </row>
    <row r="328" customFormat="false" ht="15" hidden="false" customHeight="true" outlineLevel="0" collapsed="false">
      <c r="A328" s="26" t="s">
        <v>407</v>
      </c>
      <c r="B328" s="57" t="n">
        <v>1</v>
      </c>
      <c r="C328" s="57" t="n">
        <f aca="false">B328*1.3</f>
        <v>1.3</v>
      </c>
      <c r="D328" s="58" t="n">
        <f aca="false">'Product Costs'!H59</f>
        <v>0.0103250276203152</v>
      </c>
      <c r="E328" s="59" t="n">
        <f aca="false">B328*D328</f>
        <v>0.0103250276203152</v>
      </c>
      <c r="F328" s="59" t="n">
        <f aca="false">C328*D328</f>
        <v>0.0134225359064098</v>
      </c>
      <c r="G328" s="60" t="n">
        <f aca="false">E328*Assumptions!$B$5</f>
        <v>1.39387872874255</v>
      </c>
      <c r="H328" s="60" t="n">
        <f aca="false">F328*Assumptions!$B$5</f>
        <v>1.81204234736532</v>
      </c>
    </row>
    <row r="329" customFormat="false" ht="15" hidden="false" customHeight="true" outlineLevel="0" collapsed="false">
      <c r="A329" s="26" t="s">
        <v>408</v>
      </c>
      <c r="B329" s="57" t="n">
        <v>1</v>
      </c>
      <c r="C329" s="57" t="n">
        <f aca="false">B329*1.3</f>
        <v>1.3</v>
      </c>
      <c r="D329" s="58" t="n">
        <f aca="false">'Product Costs'!H60</f>
        <v>0.0160611540760459</v>
      </c>
      <c r="E329" s="59" t="n">
        <f aca="false">B329*D329</f>
        <v>0.0160611540760459</v>
      </c>
      <c r="F329" s="59" t="n">
        <f aca="false">C329*D329</f>
        <v>0.0208795002988596</v>
      </c>
      <c r="G329" s="60" t="n">
        <f aca="false">E329*Assumptions!$B$5</f>
        <v>2.16825580026619</v>
      </c>
      <c r="H329" s="60" t="n">
        <f aca="false">F329*Assumptions!$B$5</f>
        <v>2.81873254034605</v>
      </c>
    </row>
    <row r="330" customFormat="false" ht="15" hidden="false" customHeight="true" outlineLevel="0" collapsed="false">
      <c r="A330" s="26" t="s">
        <v>383</v>
      </c>
      <c r="B330" s="57" t="n">
        <v>0.5</v>
      </c>
      <c r="C330" s="57" t="n">
        <f aca="false">B330*1.3</f>
        <v>0.65</v>
      </c>
      <c r="D330" s="58" t="n">
        <f aca="false">'Product Costs'!H48</f>
        <v>0.068833517468768</v>
      </c>
      <c r="E330" s="59" t="n">
        <f aca="false">B330*D330</f>
        <v>0.034416758734384</v>
      </c>
      <c r="F330" s="59" t="n">
        <f aca="false">C330*D330</f>
        <v>0.0447417863546992</v>
      </c>
      <c r="G330" s="60" t="n">
        <f aca="false">E330*Assumptions!$B$5</f>
        <v>4.64626242914184</v>
      </c>
      <c r="H330" s="60" t="n">
        <f aca="false">F330*Assumptions!$B$5</f>
        <v>6.0401411578844</v>
      </c>
    </row>
    <row r="331" customFormat="false" ht="15" hidden="false" customHeight="true" outlineLevel="0" collapsed="false">
      <c r="A331" s="26" t="s">
        <v>381</v>
      </c>
      <c r="B331" s="57" t="n">
        <v>0.3</v>
      </c>
      <c r="C331" s="57" t="n">
        <f aca="false">B331*1.3</f>
        <v>0.39</v>
      </c>
      <c r="D331" s="58" t="n">
        <f aca="false">'Product Costs'!H50</f>
        <v>0.019273384891255</v>
      </c>
      <c r="E331" s="59" t="n">
        <f aca="false">B331*D331</f>
        <v>0.00578201546737651</v>
      </c>
      <c r="F331" s="59" t="n">
        <f aca="false">C331*D331</f>
        <v>0.00751662010758947</v>
      </c>
      <c r="G331" s="60" t="n">
        <f aca="false">E331*Assumptions!$B$5</f>
        <v>0.780572088095829</v>
      </c>
      <c r="H331" s="60" t="n">
        <f aca="false">F331*Assumptions!$B$5</f>
        <v>1.01474371452458</v>
      </c>
    </row>
    <row r="332" customFormat="false" ht="15" hidden="false" customHeight="true" outlineLevel="0" collapsed="false">
      <c r="A332" s="26" t="s">
        <v>419</v>
      </c>
      <c r="B332" s="57" t="n">
        <v>1</v>
      </c>
      <c r="C332" s="57" t="n">
        <f aca="false">B332*1.3</f>
        <v>1.3</v>
      </c>
      <c r="D332" s="58" t="n">
        <f aca="false">'Product Costs'!H41</f>
        <v>0.144369924279064</v>
      </c>
      <c r="E332" s="59" t="n">
        <f aca="false">B332*D332</f>
        <v>0.144369924279064</v>
      </c>
      <c r="F332" s="59" t="n">
        <f aca="false">C332*D332</f>
        <v>0.187680901562783</v>
      </c>
      <c r="G332" s="60" t="n">
        <f aca="false">E332*Assumptions!$B$5</f>
        <v>19.4899397776736</v>
      </c>
      <c r="H332" s="60" t="n">
        <f aca="false">F332*Assumptions!$B$5</f>
        <v>25.3369217109757</v>
      </c>
    </row>
    <row r="333" customFormat="false" ht="15" hidden="false" customHeight="true" outlineLevel="0" collapsed="false">
      <c r="A333" s="26" t="s">
        <v>420</v>
      </c>
      <c r="B333" s="57" t="n">
        <v>1</v>
      </c>
      <c r="C333" s="57" t="n">
        <f aca="false">B333*1.3</f>
        <v>1.3</v>
      </c>
      <c r="D333" s="58" t="n">
        <f aca="false">'Product Costs'!H68</f>
        <v>0.385467697825101</v>
      </c>
      <c r="E333" s="59" t="n">
        <f aca="false">B333*D333</f>
        <v>0.385467697825101</v>
      </c>
      <c r="F333" s="59" t="n">
        <f aca="false">C333*D333</f>
        <v>0.501108007172631</v>
      </c>
      <c r="G333" s="60" t="n">
        <f aca="false">E333*Assumptions!$B$5</f>
        <v>52.0381392063886</v>
      </c>
      <c r="H333" s="60" t="n">
        <f aca="false">F333*Assumptions!$B$5</f>
        <v>67.6495809683052</v>
      </c>
    </row>
    <row r="334" customFormat="false" ht="15" hidden="false" customHeight="true" outlineLevel="0" collapsed="false">
      <c r="A334" s="26" t="s">
        <v>416</v>
      </c>
      <c r="B334" s="57" t="n">
        <v>1</v>
      </c>
      <c r="C334" s="57" t="n">
        <f aca="false">B334*1.3</f>
        <v>1.3</v>
      </c>
      <c r="D334" s="58" t="n">
        <f aca="false">'Product Costs'!H38</f>
        <v>0.90466908673238</v>
      </c>
      <c r="E334" s="59" t="n">
        <f aca="false">B334*D334</f>
        <v>0.90466908673238</v>
      </c>
      <c r="F334" s="59" t="n">
        <f aca="false">C334*D334</f>
        <v>1.17606981275209</v>
      </c>
      <c r="G334" s="60" t="n">
        <f aca="false">E334*Assumptions!$B$5</f>
        <v>122.130326708871</v>
      </c>
      <c r="H334" s="60" t="n">
        <f aca="false">F334*Assumptions!$B$5</f>
        <v>158.769424721533</v>
      </c>
    </row>
    <row r="335" customFormat="false" ht="15" hidden="false" customHeight="true" outlineLevel="0" collapsed="false">
      <c r="A335" s="26" t="s">
        <v>417</v>
      </c>
      <c r="B335" s="57" t="n">
        <v>1</v>
      </c>
      <c r="C335" s="57" t="n">
        <f aca="false">B335*1.3</f>
        <v>1.3</v>
      </c>
      <c r="D335" s="58" t="n">
        <f aca="false">'Product Costs'!H39</f>
        <v>0.90466908673238</v>
      </c>
      <c r="E335" s="59" t="n">
        <f aca="false">B335*D335</f>
        <v>0.90466908673238</v>
      </c>
      <c r="F335" s="59" t="n">
        <f aca="false">C335*D335</f>
        <v>1.17606981275209</v>
      </c>
      <c r="G335" s="60" t="n">
        <f aca="false">E335*Assumptions!$B$5</f>
        <v>122.130326708871</v>
      </c>
      <c r="H335" s="60" t="n">
        <f aca="false">F335*Assumptions!$B$5</f>
        <v>158.769424721533</v>
      </c>
    </row>
    <row r="336" customFormat="false" ht="15" hidden="false" customHeight="true" outlineLevel="0" collapsed="false">
      <c r="A336" s="26" t="s">
        <v>418</v>
      </c>
      <c r="B336" s="57" t="n">
        <v>1</v>
      </c>
      <c r="C336" s="57" t="n">
        <f aca="false">B336*1.3</f>
        <v>1.3</v>
      </c>
      <c r="D336" s="58" t="n">
        <f aca="false">'Product Costs'!H40</f>
        <v>0.90466908673238</v>
      </c>
      <c r="E336" s="59" t="n">
        <f aca="false">B336*D336</f>
        <v>0.90466908673238</v>
      </c>
      <c r="F336" s="59" t="n">
        <f aca="false">C336*D336</f>
        <v>1.17606981275209</v>
      </c>
      <c r="G336" s="60" t="n">
        <f aca="false">E336*Assumptions!$B$5</f>
        <v>122.130326708871</v>
      </c>
      <c r="H336" s="60" t="n">
        <f aca="false">F336*Assumptions!$B$5</f>
        <v>158.769424721533</v>
      </c>
    </row>
    <row r="337" customFormat="false" ht="15" hidden="false" customHeight="true" outlineLevel="0" collapsed="false">
      <c r="A337" s="26" t="s">
        <v>410</v>
      </c>
      <c r="B337" s="57" t="n">
        <v>1</v>
      </c>
      <c r="C337" s="57" t="n">
        <f aca="false">B337*1.3</f>
        <v>1.3</v>
      </c>
      <c r="D337" s="58" t="n">
        <f aca="false">'Product Costs'!H12</f>
        <v>0.137667034937536</v>
      </c>
      <c r="E337" s="59" t="n">
        <f aca="false">B337*D337</f>
        <v>0.137667034937536</v>
      </c>
      <c r="F337" s="59" t="n">
        <f aca="false">C337*D337</f>
        <v>0.178967145418797</v>
      </c>
      <c r="G337" s="60" t="n">
        <f aca="false">E337*Assumptions!$B$5</f>
        <v>18.5850497165674</v>
      </c>
      <c r="H337" s="60" t="n">
        <f aca="false">F337*Assumptions!$B$5</f>
        <v>24.1605646315376</v>
      </c>
    </row>
    <row r="338" customFormat="false" ht="15" hidden="false" customHeight="true" outlineLevel="0" collapsed="false">
      <c r="A338" s="26" t="s">
        <v>428</v>
      </c>
      <c r="B338" s="57" t="n">
        <v>1</v>
      </c>
      <c r="C338" s="57" t="n">
        <f aca="false">B338*1.3</f>
        <v>1.3</v>
      </c>
      <c r="D338" s="58" t="n">
        <f aca="false">'Product Costs'!H44</f>
        <v>0.371700994331347</v>
      </c>
      <c r="E338" s="59" t="n">
        <f aca="false">B338*D338</f>
        <v>0.371700994331347</v>
      </c>
      <c r="F338" s="59" t="n">
        <f aca="false">C338*D338</f>
        <v>0.483211292630752</v>
      </c>
      <c r="G338" s="60" t="n">
        <f aca="false">E338*Assumptions!$B$5</f>
        <v>50.1796342347319</v>
      </c>
      <c r="H338" s="60" t="n">
        <f aca="false">F338*Assumptions!$B$5</f>
        <v>65.2335245051515</v>
      </c>
    </row>
    <row r="339" customFormat="false" ht="15" hidden="false" customHeight="true" outlineLevel="0" collapsed="false">
      <c r="A339" s="26" t="s">
        <v>429</v>
      </c>
      <c r="B339" s="57" t="n">
        <v>1</v>
      </c>
      <c r="C339" s="57" t="n">
        <f aca="false">B339*1.3</f>
        <v>1.3</v>
      </c>
      <c r="D339" s="58" t="n">
        <f aca="false">'Product Costs'!H45</f>
        <v>0.247800662887565</v>
      </c>
      <c r="E339" s="59" t="n">
        <f aca="false">B339*D339</f>
        <v>0.247800662887565</v>
      </c>
      <c r="F339" s="59" t="n">
        <f aca="false">C339*D339</f>
        <v>0.322140861753834</v>
      </c>
      <c r="G339" s="60" t="n">
        <f aca="false">E339*Assumptions!$B$5</f>
        <v>33.4530894898213</v>
      </c>
      <c r="H339" s="60" t="n">
        <f aca="false">F339*Assumptions!$B$5</f>
        <v>43.4890163367677</v>
      </c>
    </row>
    <row r="340" customFormat="false" ht="15" hidden="false" customHeight="true" outlineLevel="0" collapsed="false">
      <c r="A340" s="26" t="s">
        <v>430</v>
      </c>
      <c r="B340" s="57" t="n">
        <v>1</v>
      </c>
      <c r="C340" s="57" t="n">
        <f aca="false">B340*1.3</f>
        <v>1.3</v>
      </c>
      <c r="D340" s="58" t="n">
        <f aca="false">'Product Costs'!H46</f>
        <v>0.105659449314559</v>
      </c>
      <c r="E340" s="59" t="n">
        <f aca="false">B340*D340</f>
        <v>0.105659449314559</v>
      </c>
      <c r="F340" s="59" t="n">
        <f aca="false">C340*D340</f>
        <v>0.137357284108927</v>
      </c>
      <c r="G340" s="60" t="n">
        <f aca="false">E340*Assumptions!$B$5</f>
        <v>14.2640256574655</v>
      </c>
      <c r="H340" s="60" t="n">
        <f aca="false">F340*Assumptions!$B$5</f>
        <v>18.5432333547051</v>
      </c>
    </row>
    <row r="341" customFormat="false" ht="15" hidden="false" customHeight="true" outlineLevel="0" collapsed="false">
      <c r="A341" s="26" t="s">
        <v>431</v>
      </c>
      <c r="B341" s="57" t="n">
        <v>1</v>
      </c>
      <c r="C341" s="57" t="n">
        <f aca="false">B341*1.3</f>
        <v>1.3</v>
      </c>
      <c r="D341" s="58" t="n">
        <f aca="false">'Product Costs'!H43</f>
        <v>0.289100773368826</v>
      </c>
      <c r="E341" s="59" t="n">
        <f aca="false">B341*D341</f>
        <v>0.289100773368826</v>
      </c>
      <c r="F341" s="59" t="n">
        <f aca="false">C341*D341</f>
        <v>0.375831005379473</v>
      </c>
      <c r="G341" s="60" t="n">
        <f aca="false">E341*Assumptions!$B$5</f>
        <v>39.0286044047915</v>
      </c>
      <c r="H341" s="60" t="n">
        <f aca="false">F341*Assumptions!$B$5</f>
        <v>50.7371857262289</v>
      </c>
    </row>
    <row r="342" customFormat="false" ht="15" hidden="false" customHeight="true" outlineLevel="0" collapsed="false">
      <c r="A342" s="26" t="s">
        <v>432</v>
      </c>
      <c r="B342" s="57" t="n">
        <v>1</v>
      </c>
      <c r="C342" s="57" t="n">
        <f aca="false">B342*1.3</f>
        <v>1.3</v>
      </c>
      <c r="D342" s="58" t="n">
        <f aca="false">'Product Costs'!H69</f>
        <v>0.0454301215293869</v>
      </c>
      <c r="E342" s="59" t="n">
        <f aca="false">B342*D342</f>
        <v>0.0454301215293869</v>
      </c>
      <c r="F342" s="59" t="n">
        <f aca="false">C342*D342</f>
        <v>0.059059157988203</v>
      </c>
      <c r="G342" s="60" t="n">
        <f aca="false">E342*Assumptions!$B$5</f>
        <v>6.13306640646723</v>
      </c>
      <c r="H342" s="60" t="n">
        <f aca="false">F342*Assumptions!$B$5</f>
        <v>7.9729863284074</v>
      </c>
    </row>
    <row r="343" customFormat="false" ht="15" hidden="false" customHeight="true" outlineLevel="0" collapsed="false">
      <c r="A343" s="26" t="s">
        <v>434</v>
      </c>
      <c r="B343" s="57" t="n">
        <v>0.5</v>
      </c>
      <c r="C343" s="57" t="n">
        <f aca="false">B343*1.3</f>
        <v>0.65</v>
      </c>
      <c r="D343" s="58" t="n">
        <f aca="false">'Product Costs'!H51</f>
        <v>0.0275334069875072</v>
      </c>
      <c r="E343" s="59" t="n">
        <f aca="false">B343*D343</f>
        <v>0.0137667034937536</v>
      </c>
      <c r="F343" s="59" t="n">
        <f aca="false">C343*D343</f>
        <v>0.0178967145418797</v>
      </c>
      <c r="G343" s="60" t="n">
        <f aca="false">E343*Assumptions!$B$5</f>
        <v>1.85850497165674</v>
      </c>
      <c r="H343" s="60" t="n">
        <f aca="false">F343*Assumptions!$B$5</f>
        <v>2.41605646315376</v>
      </c>
    </row>
    <row r="344" customFormat="false" ht="15" hidden="false" customHeight="true" outlineLevel="0" collapsed="false">
      <c r="A344" s="61" t="s">
        <v>386</v>
      </c>
      <c r="B344" s="62"/>
      <c r="C344" s="62"/>
      <c r="D344" s="62"/>
      <c r="E344" s="63" t="n">
        <f aca="false">SUM(E301:E343)</f>
        <v>25.4556609105519</v>
      </c>
      <c r="F344" s="63" t="n">
        <f aca="false">SUM(F301:F343)</f>
        <v>33.0923591837175</v>
      </c>
      <c r="G344" s="64" t="n">
        <f aca="false">E344*Assumptions!$B$5</f>
        <v>3436.51422292451</v>
      </c>
      <c r="H344" s="64" t="n">
        <f aca="false">F344*Assumptions!$B$5</f>
        <v>4467.46848980186</v>
      </c>
    </row>
    <row r="345" customFormat="false" ht="15" hidden="false" customHeight="true" outlineLevel="0" collapsed="false">
      <c r="A345" s="26" t="s">
        <v>459</v>
      </c>
      <c r="E345" s="65" t="n">
        <f aca="false">E344*0.3</f>
        <v>7.63669827316558</v>
      </c>
      <c r="F345" s="65" t="n">
        <f aca="false">F344*0.3</f>
        <v>9.92770775511525</v>
      </c>
      <c r="G345" s="28" t="n">
        <f aca="false">E345*Assumptions!$B$5</f>
        <v>1030.95426687735</v>
      </c>
      <c r="H345" s="28" t="n">
        <f aca="false">F345*Assumptions!$B$5</f>
        <v>1340.24054694056</v>
      </c>
    </row>
    <row r="346" customFormat="false" ht="15" hidden="false" customHeight="true" outlineLevel="0" collapsed="false">
      <c r="A346" s="61" t="s">
        <v>388</v>
      </c>
      <c r="B346" s="62"/>
      <c r="C346" s="62"/>
      <c r="D346" s="62"/>
      <c r="E346" s="63" t="n">
        <f aca="false">E344+E345</f>
        <v>33.0923591837175</v>
      </c>
      <c r="F346" s="63" t="n">
        <f aca="false">F344+F345</f>
        <v>43.0200669388328</v>
      </c>
      <c r="G346" s="64" t="n">
        <f aca="false">E346*Assumptions!$B$5</f>
        <v>4467.46848980186</v>
      </c>
      <c r="H346" s="64" t="n">
        <f aca="false">F346*Assumptions!$B$5</f>
        <v>5807.70903674242</v>
      </c>
    </row>
    <row r="347" customFormat="false" ht="15" hidden="false" customHeight="true" outlineLevel="0" collapsed="false">
      <c r="A347" s="66" t="s">
        <v>389</v>
      </c>
      <c r="B347" s="67"/>
      <c r="C347" s="67"/>
      <c r="D347" s="67"/>
      <c r="E347" s="68" t="n">
        <f aca="false">G347/Assumptions!$B$5</f>
        <v>333.333333333333</v>
      </c>
      <c r="F347" s="68" t="n">
        <f aca="false">H347/Assumptions!$B$5</f>
        <v>407.407407407407</v>
      </c>
      <c r="G347" s="69" t="n">
        <v>45000</v>
      </c>
      <c r="H347" s="69" t="n">
        <v>55000</v>
      </c>
    </row>
    <row r="348" customFormat="false" ht="15" hidden="false" customHeight="true" outlineLevel="0" collapsed="false">
      <c r="A348" s="61" t="s">
        <v>390</v>
      </c>
      <c r="B348" s="62"/>
      <c r="C348" s="62"/>
      <c r="D348" s="62"/>
      <c r="E348" s="63" t="n">
        <f aca="false">E347-E346</f>
        <v>300.240974149616</v>
      </c>
      <c r="F348" s="63" t="n">
        <f aca="false">F347-F346</f>
        <v>364.387340468575</v>
      </c>
      <c r="G348" s="64" t="n">
        <f aca="false">G347-G346</f>
        <v>40532.5315101981</v>
      </c>
      <c r="H348" s="64" t="n">
        <f aca="false">H347-H346</f>
        <v>49192.2909632576</v>
      </c>
    </row>
    <row r="349" customFormat="false" ht="15" hidden="false" customHeight="true" outlineLevel="0" collapsed="false">
      <c r="A349" s="61" t="s">
        <v>391</v>
      </c>
      <c r="B349" s="62"/>
      <c r="C349" s="62"/>
      <c r="D349" s="62"/>
      <c r="E349" s="62"/>
      <c r="F349" s="62"/>
      <c r="G349" s="70" t="n">
        <f aca="false">G348/G347</f>
        <v>0.900722922448848</v>
      </c>
      <c r="H349" s="70" t="n">
        <f aca="false">H348/H347</f>
        <v>0.894405290241047</v>
      </c>
    </row>
    <row r="351" customFormat="false" ht="15" hidden="false" customHeight="true" outlineLevel="0" collapsed="false">
      <c r="A351" s="22" t="s">
        <v>460</v>
      </c>
      <c r="B351" s="55" t="s">
        <v>461</v>
      </c>
      <c r="C351" s="23"/>
      <c r="D351" s="23"/>
      <c r="E351" s="23"/>
      <c r="F351" s="23"/>
      <c r="G351" s="23"/>
      <c r="H351" s="23"/>
    </row>
    <row r="352" customFormat="false" ht="199.5" hidden="false" customHeight="true" outlineLevel="0" collapsed="false">
      <c r="A352" s="26" t="s">
        <v>361</v>
      </c>
      <c r="B352" s="56" t="s">
        <v>462</v>
      </c>
      <c r="C352" s="56"/>
      <c r="D352" s="56"/>
      <c r="E352" s="56"/>
      <c r="F352" s="56"/>
      <c r="G352" s="56"/>
      <c r="H352" s="56"/>
    </row>
    <row r="353" customFormat="false" ht="23.25" hidden="false" customHeight="true" outlineLevel="0" collapsed="false">
      <c r="A353" s="24" t="s">
        <v>363</v>
      </c>
      <c r="B353" s="25" t="s">
        <v>364</v>
      </c>
      <c r="C353" s="25" t="s">
        <v>365</v>
      </c>
      <c r="D353" s="25" t="s">
        <v>366</v>
      </c>
      <c r="E353" s="25" t="s">
        <v>367</v>
      </c>
      <c r="F353" s="25" t="s">
        <v>368</v>
      </c>
      <c r="G353" s="25" t="s">
        <v>369</v>
      </c>
      <c r="H353" s="25" t="s">
        <v>370</v>
      </c>
    </row>
    <row r="354" customFormat="false" ht="15" hidden="false" customHeight="true" outlineLevel="0" collapsed="false">
      <c r="A354" s="26" t="s">
        <v>371</v>
      </c>
      <c r="B354" s="57" t="n">
        <v>1</v>
      </c>
      <c r="C354" s="57" t="n">
        <f aca="false">B354*1.3</f>
        <v>1.3</v>
      </c>
      <c r="D354" s="58" t="n">
        <f aca="false">'Product Costs'!H5</f>
        <v>0.082682903866388</v>
      </c>
      <c r="E354" s="59" t="n">
        <f aca="false">B354*D354</f>
        <v>0.082682903866388</v>
      </c>
      <c r="F354" s="59" t="n">
        <f aca="false">C354*D354</f>
        <v>0.107487775026304</v>
      </c>
      <c r="G354" s="60" t="n">
        <f aca="false">E354*Assumptions!$B$5</f>
        <v>11.1621920219624</v>
      </c>
      <c r="H354" s="60" t="n">
        <f aca="false">F354*Assumptions!$B$5</f>
        <v>14.5108496285511</v>
      </c>
    </row>
    <row r="355" customFormat="false" ht="15" hidden="false" customHeight="true" outlineLevel="0" collapsed="false">
      <c r="A355" s="26" t="s">
        <v>372</v>
      </c>
      <c r="B355" s="57" t="n">
        <v>1</v>
      </c>
      <c r="C355" s="57" t="n">
        <f aca="false">B355*1.3</f>
        <v>1.3</v>
      </c>
      <c r="D355" s="58" t="n">
        <f aca="false">'Product Costs'!H9</f>
        <v>0.619501657218912</v>
      </c>
      <c r="E355" s="59" t="n">
        <f aca="false">B355*D355</f>
        <v>0.619501657218912</v>
      </c>
      <c r="F355" s="59" t="n">
        <f aca="false">C355*D355</f>
        <v>0.805352154384586</v>
      </c>
      <c r="G355" s="60" t="n">
        <f aca="false">E355*Assumptions!$B$5</f>
        <v>83.6327237245532</v>
      </c>
      <c r="H355" s="60" t="n">
        <f aca="false">F355*Assumptions!$B$5</f>
        <v>108.722540841919</v>
      </c>
    </row>
    <row r="356" customFormat="false" ht="15" hidden="false" customHeight="true" outlineLevel="0" collapsed="false">
      <c r="A356" s="26" t="s">
        <v>373</v>
      </c>
      <c r="B356" s="57" t="n">
        <v>1</v>
      </c>
      <c r="C356" s="57" t="n">
        <f aca="false">B356*1.3</f>
        <v>1.3</v>
      </c>
      <c r="D356" s="58" t="n">
        <f aca="false">'Product Costs'!H10</f>
        <v>0.917780232916907</v>
      </c>
      <c r="E356" s="59" t="n">
        <f aca="false">B356*D356</f>
        <v>0.917780232916907</v>
      </c>
      <c r="F356" s="59" t="n">
        <f aca="false">C356*D356</f>
        <v>1.19311430279198</v>
      </c>
      <c r="G356" s="60" t="n">
        <f aca="false">E356*Assumptions!$B$5</f>
        <v>123.900331443782</v>
      </c>
      <c r="H356" s="60" t="n">
        <f aca="false">F356*Assumptions!$B$5</f>
        <v>161.070430876917</v>
      </c>
    </row>
    <row r="357" customFormat="false" ht="15" hidden="false" customHeight="true" outlineLevel="0" collapsed="false">
      <c r="A357" s="26" t="s">
        <v>374</v>
      </c>
      <c r="B357" s="57" t="n">
        <v>1</v>
      </c>
      <c r="C357" s="57" t="n">
        <f aca="false">B357*1.3</f>
        <v>1.3</v>
      </c>
      <c r="D357" s="58" t="n">
        <f aca="false">'Product Costs'!H20</f>
        <v>0.206500552406304</v>
      </c>
      <c r="E357" s="59" t="n">
        <f aca="false">B357*D357</f>
        <v>0.206500552406304</v>
      </c>
      <c r="F357" s="59" t="n">
        <f aca="false">C357*D357</f>
        <v>0.268450718128195</v>
      </c>
      <c r="G357" s="60" t="n">
        <f aca="false">E357*Assumptions!$B$5</f>
        <v>27.8775745748511</v>
      </c>
      <c r="H357" s="60" t="n">
        <f aca="false">F357*Assumptions!$B$5</f>
        <v>36.2408469473064</v>
      </c>
    </row>
    <row r="358" customFormat="false" ht="15" hidden="false" customHeight="true" outlineLevel="0" collapsed="false">
      <c r="A358" s="26" t="s">
        <v>375</v>
      </c>
      <c r="B358" s="57" t="n">
        <v>1</v>
      </c>
      <c r="C358" s="57" t="n">
        <f aca="false">B358*1.3</f>
        <v>1.3</v>
      </c>
      <c r="D358" s="58" t="n">
        <f aca="false">'Product Costs'!H19</f>
        <v>0.289100773368826</v>
      </c>
      <c r="E358" s="59" t="n">
        <f aca="false">B358*D358</f>
        <v>0.289100773368826</v>
      </c>
      <c r="F358" s="59" t="n">
        <f aca="false">C358*D358</f>
        <v>0.375831005379474</v>
      </c>
      <c r="G358" s="60" t="n">
        <f aca="false">E358*Assumptions!$B$5</f>
        <v>39.0286044047915</v>
      </c>
      <c r="H358" s="60" t="n">
        <f aca="false">F358*Assumptions!$B$5</f>
        <v>50.7371857262289</v>
      </c>
    </row>
    <row r="359" customFormat="false" ht="15" hidden="false" customHeight="true" outlineLevel="0" collapsed="false">
      <c r="A359" s="26" t="s">
        <v>376</v>
      </c>
      <c r="B359" s="57" t="n">
        <v>1</v>
      </c>
      <c r="C359" s="57" t="n">
        <f aca="false">B359*1.3</f>
        <v>1.3</v>
      </c>
      <c r="D359" s="58" t="n">
        <f aca="false">'Product Costs'!H18</f>
        <v>0.68833517468768</v>
      </c>
      <c r="E359" s="59" t="n">
        <f aca="false">B359*D359</f>
        <v>0.68833517468768</v>
      </c>
      <c r="F359" s="59" t="n">
        <f aca="false">C359*D359</f>
        <v>0.894835727093985</v>
      </c>
      <c r="G359" s="60" t="n">
        <f aca="false">E359*Assumptions!$B$5</f>
        <v>92.9252485828368</v>
      </c>
      <c r="H359" s="60" t="n">
        <f aca="false">F359*Assumptions!$B$5</f>
        <v>120.802823157688</v>
      </c>
    </row>
    <row r="360" customFormat="false" ht="15" hidden="false" customHeight="true" outlineLevel="0" collapsed="false">
      <c r="A360" s="26" t="s">
        <v>377</v>
      </c>
      <c r="B360" s="57" t="n">
        <v>1</v>
      </c>
      <c r="C360" s="57" t="n">
        <f aca="false">B360*1.3</f>
        <v>1.3</v>
      </c>
      <c r="D360" s="58" t="n">
        <f aca="false">'Product Costs'!H36</f>
        <v>0.385467697825101</v>
      </c>
      <c r="E360" s="59" t="n">
        <f aca="false">B360*D360</f>
        <v>0.385467697825101</v>
      </c>
      <c r="F360" s="59" t="n">
        <f aca="false">C360*D360</f>
        <v>0.501108007172631</v>
      </c>
      <c r="G360" s="60" t="n">
        <f aca="false">E360*Assumptions!$B$5</f>
        <v>52.0381392063886</v>
      </c>
      <c r="H360" s="60" t="n">
        <f aca="false">F360*Assumptions!$B$5</f>
        <v>67.6495809683052</v>
      </c>
    </row>
    <row r="361" customFormat="false" ht="15" hidden="false" customHeight="true" outlineLevel="0" collapsed="false">
      <c r="A361" s="26" t="s">
        <v>378</v>
      </c>
      <c r="B361" s="57" t="n">
        <v>1</v>
      </c>
      <c r="C361" s="57" t="n">
        <f aca="false">B361*1.3</f>
        <v>1.3</v>
      </c>
      <c r="D361" s="58" t="n">
        <f aca="false">'Product Costs'!H24</f>
        <v>0.715868581675188</v>
      </c>
      <c r="E361" s="59" t="n">
        <f aca="false">B361*D361</f>
        <v>0.715868581675188</v>
      </c>
      <c r="F361" s="59" t="n">
        <f aca="false">C361*D361</f>
        <v>0.930629156177744</v>
      </c>
      <c r="G361" s="60" t="n">
        <f aca="false">E361*Assumptions!$B$5</f>
        <v>96.6422585261503</v>
      </c>
      <c r="H361" s="60" t="n">
        <f aca="false">F361*Assumptions!$B$5</f>
        <v>125.634936083995</v>
      </c>
    </row>
    <row r="362" customFormat="false" ht="15" hidden="false" customHeight="true" outlineLevel="0" collapsed="false">
      <c r="A362" s="26" t="s">
        <v>379</v>
      </c>
      <c r="B362" s="57" t="n">
        <v>0.5</v>
      </c>
      <c r="C362" s="57" t="n">
        <f aca="false">B362*1.3</f>
        <v>0.65</v>
      </c>
      <c r="D362" s="58" t="n">
        <f aca="false">'Product Costs'!H22</f>
        <v>0.313499188471617</v>
      </c>
      <c r="E362" s="59" t="n">
        <f aca="false">B362*D362</f>
        <v>0.156749594235808</v>
      </c>
      <c r="F362" s="59" t="n">
        <f aca="false">C362*D362</f>
        <v>0.203774472506551</v>
      </c>
      <c r="G362" s="60" t="n">
        <f aca="false">E362*Assumptions!$B$5</f>
        <v>21.1611952218341</v>
      </c>
      <c r="H362" s="60" t="n">
        <f aca="false">F362*Assumptions!$B$5</f>
        <v>27.5095537883844</v>
      </c>
    </row>
    <row r="363" customFormat="false" ht="15" hidden="false" customHeight="true" outlineLevel="0" collapsed="false">
      <c r="A363" s="26" t="s">
        <v>380</v>
      </c>
      <c r="B363" s="57" t="n">
        <v>0.4</v>
      </c>
      <c r="C363" s="57" t="n">
        <f aca="false">B363*1.3</f>
        <v>0.52</v>
      </c>
      <c r="D363" s="58" t="n">
        <f aca="false">'Product Costs'!H49</f>
        <v>0.0275334069875072</v>
      </c>
      <c r="E363" s="59" t="n">
        <f aca="false">B363*D363</f>
        <v>0.0110133627950029</v>
      </c>
      <c r="F363" s="59" t="n">
        <f aca="false">C363*D363</f>
        <v>0.0143173716335038</v>
      </c>
      <c r="G363" s="60" t="n">
        <f aca="false">E363*Assumptions!$B$5</f>
        <v>1.48680397732539</v>
      </c>
      <c r="H363" s="60" t="n">
        <f aca="false">F363*Assumptions!$B$5</f>
        <v>1.93284517052301</v>
      </c>
    </row>
    <row r="364" customFormat="false" ht="15" hidden="false" customHeight="true" outlineLevel="0" collapsed="false">
      <c r="A364" s="26" t="s">
        <v>381</v>
      </c>
      <c r="B364" s="57" t="n">
        <v>0.2</v>
      </c>
      <c r="C364" s="57" t="n">
        <f aca="false">B364*1.3</f>
        <v>0.26</v>
      </c>
      <c r="D364" s="58" t="n">
        <f aca="false">'Product Costs'!H50</f>
        <v>0.019273384891255</v>
      </c>
      <c r="E364" s="59" t="n">
        <f aca="false">B364*D364</f>
        <v>0.00385467697825101</v>
      </c>
      <c r="F364" s="59" t="n">
        <f aca="false">C364*D364</f>
        <v>0.00501108007172631</v>
      </c>
      <c r="G364" s="60" t="n">
        <f aca="false">E364*Assumptions!$B$5</f>
        <v>0.520381392063886</v>
      </c>
      <c r="H364" s="60" t="n">
        <f aca="false">F364*Assumptions!$B$5</f>
        <v>0.676495809683052</v>
      </c>
    </row>
    <row r="365" customFormat="false" ht="15" hidden="false" customHeight="true" outlineLevel="0" collapsed="false">
      <c r="A365" s="26" t="s">
        <v>382</v>
      </c>
      <c r="B365" s="57" t="n">
        <v>0.2</v>
      </c>
      <c r="C365" s="57" t="n">
        <f aca="false">B365*1.3</f>
        <v>0.26</v>
      </c>
      <c r="D365" s="58" t="n">
        <f aca="false">'Product Costs'!H47</f>
        <v>0.0413001104812608</v>
      </c>
      <c r="E365" s="59" t="n">
        <f aca="false">B365*D365</f>
        <v>0.00826002209625217</v>
      </c>
      <c r="F365" s="59" t="n">
        <f aca="false">C365*D365</f>
        <v>0.0107380287251278</v>
      </c>
      <c r="G365" s="60" t="n">
        <f aca="false">E365*Assumptions!$B$5</f>
        <v>1.11510298299404</v>
      </c>
      <c r="H365" s="60" t="n">
        <f aca="false">F365*Assumptions!$B$5</f>
        <v>1.44963387789225</v>
      </c>
    </row>
    <row r="366" customFormat="false" ht="15" hidden="false" customHeight="true" outlineLevel="0" collapsed="false">
      <c r="A366" s="26" t="s">
        <v>383</v>
      </c>
      <c r="B366" s="57" t="n">
        <v>0.2</v>
      </c>
      <c r="C366" s="57" t="n">
        <f aca="false">B366*1.3</f>
        <v>0.26</v>
      </c>
      <c r="D366" s="58" t="n">
        <f aca="false">'Product Costs'!H48</f>
        <v>0.068833517468768</v>
      </c>
      <c r="E366" s="59" t="n">
        <f aca="false">B366*D366</f>
        <v>0.0137667034937536</v>
      </c>
      <c r="F366" s="59" t="n">
        <f aca="false">C366*D366</f>
        <v>0.0178967145418797</v>
      </c>
      <c r="G366" s="60" t="n">
        <f aca="false">E366*Assumptions!$B$5</f>
        <v>1.85850497165674</v>
      </c>
      <c r="H366" s="60" t="n">
        <f aca="false">F366*Assumptions!$B$5</f>
        <v>2.41605646315376</v>
      </c>
    </row>
    <row r="367" customFormat="false" ht="15" hidden="false" customHeight="true" outlineLevel="0" collapsed="false">
      <c r="A367" s="26" t="s">
        <v>384</v>
      </c>
      <c r="B367" s="57" t="n">
        <v>0.3</v>
      </c>
      <c r="C367" s="57" t="n">
        <f aca="false">B367*1.3</f>
        <v>0.39</v>
      </c>
      <c r="D367" s="58" t="n">
        <f aca="false">'Product Costs'!H66</f>
        <v>0.0183556046583381</v>
      </c>
      <c r="E367" s="59" t="n">
        <f aca="false">B367*D367</f>
        <v>0.00550668139750144</v>
      </c>
      <c r="F367" s="59" t="n">
        <f aca="false">C367*D367</f>
        <v>0.00715868581675188</v>
      </c>
      <c r="G367" s="60" t="n">
        <f aca="false">E367*Assumptions!$B$5</f>
        <v>0.743401988662695</v>
      </c>
      <c r="H367" s="60" t="n">
        <f aca="false">F367*Assumptions!$B$5</f>
        <v>0.966422585261503</v>
      </c>
    </row>
    <row r="368" customFormat="false" ht="15" hidden="false" customHeight="true" outlineLevel="0" collapsed="false">
      <c r="A368" s="26" t="s">
        <v>435</v>
      </c>
      <c r="B368" s="57" t="n">
        <v>1</v>
      </c>
      <c r="C368" s="57" t="n">
        <f aca="false">B368*1.3</f>
        <v>1.3</v>
      </c>
      <c r="D368" s="58" t="n">
        <f aca="false">'Product Costs'!H13</f>
        <v>0.475426697231731</v>
      </c>
      <c r="E368" s="59" t="n">
        <f aca="false">B368*D368</f>
        <v>0.475426697231731</v>
      </c>
      <c r="F368" s="59" t="n">
        <f aca="false">C368*D368</f>
        <v>0.618054706401251</v>
      </c>
      <c r="G368" s="60" t="n">
        <f aca="false">E368*Assumptions!$B$5</f>
        <v>64.1826041262837</v>
      </c>
      <c r="H368" s="60" t="n">
        <f aca="false">F368*Assumptions!$B$5</f>
        <v>83.4373853641688</v>
      </c>
    </row>
    <row r="369" customFormat="false" ht="15" hidden="false" customHeight="true" outlineLevel="0" collapsed="false">
      <c r="A369" s="26" t="s">
        <v>417</v>
      </c>
      <c r="B369" s="57" t="n">
        <v>0.4</v>
      </c>
      <c r="C369" s="57" t="n">
        <f aca="false">B369*1.3</f>
        <v>0.52</v>
      </c>
      <c r="D369" s="58" t="n">
        <f aca="false">'Product Costs'!H39</f>
        <v>0.90466908673238</v>
      </c>
      <c r="E369" s="59" t="n">
        <f aca="false">B369*D369</f>
        <v>0.361867634692952</v>
      </c>
      <c r="F369" s="59" t="n">
        <f aca="false">C369*D369</f>
        <v>0.470427925100838</v>
      </c>
      <c r="G369" s="60" t="n">
        <f aca="false">E369*Assumptions!$B$5</f>
        <v>48.8521306835485</v>
      </c>
      <c r="H369" s="60" t="n">
        <f aca="false">F369*Assumptions!$B$5</f>
        <v>63.5077698886131</v>
      </c>
    </row>
    <row r="370" customFormat="false" ht="15" hidden="false" customHeight="true" outlineLevel="0" collapsed="false">
      <c r="A370" s="26" t="s">
        <v>428</v>
      </c>
      <c r="B370" s="57" t="n">
        <v>0.3</v>
      </c>
      <c r="C370" s="57" t="n">
        <f aca="false">B370*1.3</f>
        <v>0.39</v>
      </c>
      <c r="D370" s="58" t="n">
        <f aca="false">'Product Costs'!H44</f>
        <v>0.371700994331347</v>
      </c>
      <c r="E370" s="59" t="n">
        <f aca="false">B370*D370</f>
        <v>0.111510298299404</v>
      </c>
      <c r="F370" s="59" t="n">
        <f aca="false">C370*D370</f>
        <v>0.144963387789226</v>
      </c>
      <c r="G370" s="60" t="n">
        <f aca="false">E370*Assumptions!$B$5</f>
        <v>15.0538902704196</v>
      </c>
      <c r="H370" s="60" t="n">
        <f aca="false">F370*Assumptions!$B$5</f>
        <v>19.5700573515454</v>
      </c>
    </row>
    <row r="371" customFormat="false" ht="15" hidden="false" customHeight="true" outlineLevel="0" collapsed="false">
      <c r="A371" s="26" t="s">
        <v>395</v>
      </c>
      <c r="B371" s="57" t="n">
        <v>0.5</v>
      </c>
      <c r="C371" s="57" t="n">
        <f aca="false">B371*1.3</f>
        <v>0.65</v>
      </c>
      <c r="D371" s="58" t="n">
        <f aca="false">'Product Costs'!H21</f>
        <v>0.41403619530086</v>
      </c>
      <c r="E371" s="59" t="n">
        <f aca="false">B371*D371</f>
        <v>0.20701809765043</v>
      </c>
      <c r="F371" s="59" t="n">
        <f aca="false">C371*D371</f>
        <v>0.269123526945559</v>
      </c>
      <c r="G371" s="60" t="n">
        <f aca="false">E371*Assumptions!$B$5</f>
        <v>27.9474431828081</v>
      </c>
      <c r="H371" s="60" t="n">
        <f aca="false">F371*Assumptions!$B$5</f>
        <v>36.3316761376505</v>
      </c>
    </row>
    <row r="372" customFormat="false" ht="15" hidden="false" customHeight="true" outlineLevel="0" collapsed="false">
      <c r="A372" s="26" t="s">
        <v>411</v>
      </c>
      <c r="B372" s="57" t="n">
        <v>0.1</v>
      </c>
      <c r="C372" s="57" t="n">
        <f aca="false">B372*1.3</f>
        <v>0.13</v>
      </c>
      <c r="D372" s="58" t="n">
        <f aca="false">'Product Costs'!H42</f>
        <v>0.124024355799582</v>
      </c>
      <c r="E372" s="59" t="n">
        <f aca="false">B372*D372</f>
        <v>0.0124024355799582</v>
      </c>
      <c r="F372" s="59" t="n">
        <f aca="false">C372*D372</f>
        <v>0.0161231662539457</v>
      </c>
      <c r="G372" s="60" t="n">
        <f aca="false">E372*Assumptions!$B$5</f>
        <v>1.67432880329436</v>
      </c>
      <c r="H372" s="60" t="n">
        <f aca="false">F372*Assumptions!$B$5</f>
        <v>2.17662744428267</v>
      </c>
    </row>
    <row r="373" customFormat="false" ht="15" hidden="false" customHeight="true" outlineLevel="0" collapsed="false">
      <c r="A373" s="61" t="s">
        <v>463</v>
      </c>
      <c r="B373" s="62"/>
      <c r="C373" s="62"/>
      <c r="D373" s="62"/>
      <c r="E373" s="63" t="n">
        <f aca="false">SUM(E354:E372)</f>
        <v>5.27261377841635</v>
      </c>
      <c r="F373" s="63" t="n">
        <f aca="false">SUM(F354:F372)</f>
        <v>6.85439791194126</v>
      </c>
      <c r="G373" s="64" t="n">
        <f aca="false">E373*Assumptions!$B$5</f>
        <v>711.802860086208</v>
      </c>
      <c r="H373" s="64" t="n">
        <f aca="false">F373*Assumptions!$B$5</f>
        <v>925.34371811207</v>
      </c>
    </row>
    <row r="374" customFormat="false" ht="15" hidden="false" customHeight="true" outlineLevel="0" collapsed="false">
      <c r="A374" s="26" t="s">
        <v>387</v>
      </c>
      <c r="E374" s="71" t="n">
        <f aca="false">E373*Assumptions!$B$9</f>
        <v>0.790892066762453</v>
      </c>
      <c r="F374" s="71" t="n">
        <f aca="false">F373*Assumptions!$B$9</f>
        <v>1.02815968679119</v>
      </c>
      <c r="G374" s="72" t="n">
        <f aca="false">E374*Assumptions!$B$5</f>
        <v>106.770429012931</v>
      </c>
      <c r="H374" s="72" t="n">
        <f aca="false">F374*Assumptions!$B$5</f>
        <v>138.80155771681</v>
      </c>
    </row>
    <row r="375" customFormat="false" ht="15" hidden="false" customHeight="true" outlineLevel="0" collapsed="false">
      <c r="A375" s="61" t="s">
        <v>464</v>
      </c>
      <c r="B375" s="62"/>
      <c r="C375" s="62"/>
      <c r="D375" s="62"/>
      <c r="E375" s="63" t="n">
        <f aca="false">E373+E374</f>
        <v>6.0635058451788</v>
      </c>
      <c r="F375" s="63" t="n">
        <f aca="false">F373+F374</f>
        <v>7.88255759873245</v>
      </c>
      <c r="G375" s="64" t="n">
        <f aca="false">E375*Assumptions!$B$5</f>
        <v>818.573289099139</v>
      </c>
      <c r="H375" s="64" t="n">
        <f aca="false">F375*Assumptions!$B$5</f>
        <v>1064.14527582888</v>
      </c>
    </row>
    <row r="377" customFormat="false" ht="15" hidden="false" customHeight="true" outlineLevel="0" collapsed="false">
      <c r="A377" s="22" t="s">
        <v>465</v>
      </c>
      <c r="B377" s="23"/>
      <c r="C377" s="23"/>
      <c r="D377" s="23"/>
      <c r="E377" s="23"/>
      <c r="F377" s="23"/>
      <c r="G377" s="23"/>
      <c r="H377" s="23"/>
    </row>
    <row r="378" customFormat="false" ht="15" hidden="false" customHeight="true" outlineLevel="0" collapsed="false">
      <c r="A378" s="26" t="s">
        <v>466</v>
      </c>
      <c r="G378" s="72" t="n">
        <f aca="false">G126</f>
        <v>4579.16043338578</v>
      </c>
      <c r="H378" s="72" t="n">
        <f aca="false">H126</f>
        <v>5952.90856340152</v>
      </c>
    </row>
    <row r="379" customFormat="false" ht="15" hidden="false" customHeight="true" outlineLevel="0" collapsed="false">
      <c r="A379" s="26" t="s">
        <v>467</v>
      </c>
      <c r="G379" s="72" t="n">
        <f aca="false">9*G375+3*G378</f>
        <v>21104.6409020496</v>
      </c>
      <c r="H379" s="72" t="n">
        <f aca="false">9*H375+3*H378</f>
        <v>27436.0331726645</v>
      </c>
    </row>
    <row r="380" customFormat="false" ht="15" hidden="false" customHeight="true" outlineLevel="0" collapsed="false">
      <c r="A380" s="61" t="s">
        <v>468</v>
      </c>
      <c r="B380" s="62"/>
      <c r="C380" s="62"/>
      <c r="D380" s="62"/>
      <c r="E380" s="62"/>
      <c r="F380" s="62"/>
      <c r="G380" s="64" t="n">
        <f aca="false">G379/12</f>
        <v>1758.7200751708</v>
      </c>
      <c r="H380" s="64" t="n">
        <f aca="false">H379/12</f>
        <v>2286.33609772204</v>
      </c>
    </row>
    <row r="381" customFormat="false" ht="15" hidden="false" customHeight="true" outlineLevel="0" collapsed="false">
      <c r="A381" s="66" t="s">
        <v>469</v>
      </c>
      <c r="B381" s="67"/>
      <c r="C381" s="67"/>
      <c r="D381" s="67"/>
      <c r="E381" s="67"/>
      <c r="F381" s="67"/>
      <c r="G381" s="69" t="n">
        <v>11700</v>
      </c>
      <c r="H381" s="69" t="n">
        <v>15100</v>
      </c>
    </row>
    <row r="382" customFormat="false" ht="15" hidden="false" customHeight="true" outlineLevel="0" collapsed="false">
      <c r="A382" s="61" t="s">
        <v>470</v>
      </c>
      <c r="B382" s="62"/>
      <c r="C382" s="62"/>
      <c r="D382" s="62"/>
      <c r="E382" s="62"/>
      <c r="F382" s="62"/>
      <c r="G382" s="64" t="n">
        <f aca="false">G381-G380</f>
        <v>9941.2799248292</v>
      </c>
      <c r="H382" s="64" t="n">
        <f aca="false">H381-H380</f>
        <v>12813.663902278</v>
      </c>
    </row>
    <row r="383" customFormat="false" ht="15" hidden="false" customHeight="true" outlineLevel="0" collapsed="false">
      <c r="A383" s="61" t="s">
        <v>471</v>
      </c>
      <c r="B383" s="62"/>
      <c r="C383" s="62"/>
      <c r="D383" s="62"/>
      <c r="E383" s="62"/>
      <c r="F383" s="62"/>
      <c r="G383" s="70" t="n">
        <f aca="false">G382/G381</f>
        <v>0.849682044857197</v>
      </c>
      <c r="H383" s="70" t="n">
        <f aca="false">H382/H381</f>
        <v>0.848587013395891</v>
      </c>
    </row>
    <row r="384" customFormat="false" ht="15" hidden="false" customHeight="true" outlineLevel="0" collapsed="false">
      <c r="A384" s="43" t="s">
        <v>472</v>
      </c>
      <c r="B384" s="43"/>
      <c r="C384" s="43"/>
      <c r="D384" s="43"/>
      <c r="E384" s="43"/>
      <c r="F384" s="43"/>
      <c r="G384" s="43"/>
      <c r="H384" s="43"/>
    </row>
    <row r="386" customFormat="false" ht="15" hidden="false" customHeight="true" outlineLevel="0" collapsed="false">
      <c r="A386" s="22" t="s">
        <v>473</v>
      </c>
      <c r="B386" s="55" t="s">
        <v>474</v>
      </c>
      <c r="C386" s="23"/>
      <c r="D386" s="23"/>
      <c r="E386" s="23"/>
      <c r="F386" s="23"/>
      <c r="G386" s="23"/>
      <c r="H386" s="23"/>
    </row>
    <row r="387" customFormat="false" ht="117" hidden="false" customHeight="true" outlineLevel="0" collapsed="false">
      <c r="A387" s="26" t="s">
        <v>361</v>
      </c>
      <c r="B387" s="56" t="s">
        <v>475</v>
      </c>
      <c r="C387" s="56"/>
      <c r="D387" s="56"/>
      <c r="E387" s="56"/>
      <c r="F387" s="56"/>
      <c r="G387" s="56"/>
      <c r="H387" s="56"/>
    </row>
    <row r="388" customFormat="false" ht="23.25" hidden="false" customHeight="true" outlineLevel="0" collapsed="false">
      <c r="A388" s="24" t="s">
        <v>363</v>
      </c>
      <c r="B388" s="25" t="s">
        <v>364</v>
      </c>
      <c r="C388" s="25" t="s">
        <v>365</v>
      </c>
      <c r="D388" s="25" t="s">
        <v>366</v>
      </c>
      <c r="E388" s="25" t="s">
        <v>367</v>
      </c>
      <c r="F388" s="25" t="s">
        <v>368</v>
      </c>
      <c r="G388" s="25" t="s">
        <v>369</v>
      </c>
      <c r="H388" s="25" t="s">
        <v>370</v>
      </c>
    </row>
    <row r="389" customFormat="false" ht="15" hidden="false" customHeight="true" outlineLevel="0" collapsed="false">
      <c r="A389" s="26" t="s">
        <v>419</v>
      </c>
      <c r="B389" s="57" t="n">
        <v>1</v>
      </c>
      <c r="C389" s="57" t="n">
        <f aca="false">B389*1.3</f>
        <v>1.3</v>
      </c>
      <c r="D389" s="58" t="n">
        <f aca="false">'Product Costs'!H41</f>
        <v>0.144369924279064</v>
      </c>
      <c r="E389" s="59" t="n">
        <f aca="false">B389*D389</f>
        <v>0.144369924279064</v>
      </c>
      <c r="F389" s="59" t="n">
        <f aca="false">C389*D389</f>
        <v>0.187680901562783</v>
      </c>
      <c r="G389" s="60" t="n">
        <f aca="false">E389*Assumptions!$B$5</f>
        <v>19.4899397776736</v>
      </c>
      <c r="H389" s="60" t="n">
        <f aca="false">F389*Assumptions!$B$5</f>
        <v>25.3369217109757</v>
      </c>
    </row>
    <row r="390" customFormat="false" ht="15" hidden="false" customHeight="true" outlineLevel="0" collapsed="false">
      <c r="A390" s="26" t="s">
        <v>420</v>
      </c>
      <c r="B390" s="57" t="n">
        <v>1</v>
      </c>
      <c r="C390" s="57" t="n">
        <f aca="false">B390*1.3</f>
        <v>1.3</v>
      </c>
      <c r="D390" s="58" t="n">
        <f aca="false">'Product Costs'!H68</f>
        <v>0.385467697825101</v>
      </c>
      <c r="E390" s="59" t="n">
        <f aca="false">B390*D390</f>
        <v>0.385467697825101</v>
      </c>
      <c r="F390" s="59" t="n">
        <f aca="false">C390*D390</f>
        <v>0.501108007172631</v>
      </c>
      <c r="G390" s="60" t="n">
        <f aca="false">E390*Assumptions!$B$5</f>
        <v>52.0381392063886</v>
      </c>
      <c r="H390" s="60" t="n">
        <f aca="false">F390*Assumptions!$B$5</f>
        <v>67.6495809683052</v>
      </c>
    </row>
    <row r="391" customFormat="false" ht="15" hidden="false" customHeight="true" outlineLevel="0" collapsed="false">
      <c r="A391" s="26" t="s">
        <v>416</v>
      </c>
      <c r="B391" s="57" t="n">
        <v>1</v>
      </c>
      <c r="C391" s="57" t="n">
        <f aca="false">B391*1.3</f>
        <v>1.3</v>
      </c>
      <c r="D391" s="58" t="n">
        <f aca="false">'Product Costs'!H38</f>
        <v>0.90466908673238</v>
      </c>
      <c r="E391" s="59" t="n">
        <f aca="false">B391*D391</f>
        <v>0.90466908673238</v>
      </c>
      <c r="F391" s="59" t="n">
        <f aca="false">C391*D391</f>
        <v>1.17606981275209</v>
      </c>
      <c r="G391" s="60" t="n">
        <f aca="false">E391*Assumptions!$B$5</f>
        <v>122.130326708871</v>
      </c>
      <c r="H391" s="60" t="n">
        <f aca="false">F391*Assumptions!$B$5</f>
        <v>158.769424721533</v>
      </c>
    </row>
    <row r="392" customFormat="false" ht="15" hidden="false" customHeight="true" outlineLevel="0" collapsed="false">
      <c r="A392" s="26" t="s">
        <v>417</v>
      </c>
      <c r="B392" s="57" t="n">
        <v>1</v>
      </c>
      <c r="C392" s="57" t="n">
        <f aca="false">B392*1.3</f>
        <v>1.3</v>
      </c>
      <c r="D392" s="58" t="n">
        <f aca="false">'Product Costs'!H39</f>
        <v>0.90466908673238</v>
      </c>
      <c r="E392" s="59" t="n">
        <f aca="false">B392*D392</f>
        <v>0.90466908673238</v>
      </c>
      <c r="F392" s="59" t="n">
        <f aca="false">C392*D392</f>
        <v>1.17606981275209</v>
      </c>
      <c r="G392" s="60" t="n">
        <f aca="false">E392*Assumptions!$B$5</f>
        <v>122.130326708871</v>
      </c>
      <c r="H392" s="60" t="n">
        <f aca="false">F392*Assumptions!$B$5</f>
        <v>158.769424721533</v>
      </c>
    </row>
    <row r="393" customFormat="false" ht="15" hidden="false" customHeight="true" outlineLevel="0" collapsed="false">
      <c r="A393" s="26" t="s">
        <v>418</v>
      </c>
      <c r="B393" s="57" t="n">
        <v>1</v>
      </c>
      <c r="C393" s="57" t="n">
        <f aca="false">B393*1.3</f>
        <v>1.3</v>
      </c>
      <c r="D393" s="58" t="n">
        <f aca="false">'Product Costs'!H40</f>
        <v>0.90466908673238</v>
      </c>
      <c r="E393" s="59" t="n">
        <f aca="false">B393*D393</f>
        <v>0.90466908673238</v>
      </c>
      <c r="F393" s="59" t="n">
        <f aca="false">C393*D393</f>
        <v>1.17606981275209</v>
      </c>
      <c r="G393" s="60" t="n">
        <f aca="false">E393*Assumptions!$B$5</f>
        <v>122.130326708871</v>
      </c>
      <c r="H393" s="60" t="n">
        <f aca="false">F393*Assumptions!$B$5</f>
        <v>158.769424721533</v>
      </c>
    </row>
    <row r="394" customFormat="false" ht="15" hidden="false" customHeight="true" outlineLevel="0" collapsed="false">
      <c r="A394" s="26" t="s">
        <v>428</v>
      </c>
      <c r="B394" s="57" t="n">
        <v>1</v>
      </c>
      <c r="C394" s="57" t="n">
        <f aca="false">B394*1.3</f>
        <v>1.3</v>
      </c>
      <c r="D394" s="58" t="n">
        <f aca="false">'Product Costs'!H44</f>
        <v>0.371700994331347</v>
      </c>
      <c r="E394" s="59" t="n">
        <f aca="false">B394*D394</f>
        <v>0.371700994331347</v>
      </c>
      <c r="F394" s="59" t="n">
        <f aca="false">C394*D394</f>
        <v>0.483211292630752</v>
      </c>
      <c r="G394" s="60" t="n">
        <f aca="false">E394*Assumptions!$B$5</f>
        <v>50.1796342347319</v>
      </c>
      <c r="H394" s="60" t="n">
        <f aca="false">F394*Assumptions!$B$5</f>
        <v>65.2335245051515</v>
      </c>
    </row>
    <row r="395" customFormat="false" ht="15" hidden="false" customHeight="true" outlineLevel="0" collapsed="false">
      <c r="A395" s="26" t="s">
        <v>429</v>
      </c>
      <c r="B395" s="57" t="n">
        <v>1</v>
      </c>
      <c r="C395" s="57" t="n">
        <f aca="false">B395*1.3</f>
        <v>1.3</v>
      </c>
      <c r="D395" s="58" t="n">
        <f aca="false">'Product Costs'!H45</f>
        <v>0.247800662887565</v>
      </c>
      <c r="E395" s="59" t="n">
        <f aca="false">B395*D395</f>
        <v>0.247800662887565</v>
      </c>
      <c r="F395" s="59" t="n">
        <f aca="false">C395*D395</f>
        <v>0.322140861753834</v>
      </c>
      <c r="G395" s="60" t="n">
        <f aca="false">E395*Assumptions!$B$5</f>
        <v>33.4530894898213</v>
      </c>
      <c r="H395" s="60" t="n">
        <f aca="false">F395*Assumptions!$B$5</f>
        <v>43.4890163367677</v>
      </c>
    </row>
    <row r="396" customFormat="false" ht="15" hidden="false" customHeight="true" outlineLevel="0" collapsed="false">
      <c r="A396" s="26" t="s">
        <v>430</v>
      </c>
      <c r="B396" s="57" t="n">
        <v>1</v>
      </c>
      <c r="C396" s="57" t="n">
        <f aca="false">B396*1.3</f>
        <v>1.3</v>
      </c>
      <c r="D396" s="58" t="n">
        <f aca="false">'Product Costs'!H46</f>
        <v>0.105659449314559</v>
      </c>
      <c r="E396" s="59" t="n">
        <f aca="false">B396*D396</f>
        <v>0.105659449314559</v>
      </c>
      <c r="F396" s="59" t="n">
        <f aca="false">C396*D396</f>
        <v>0.137357284108927</v>
      </c>
      <c r="G396" s="60" t="n">
        <f aca="false">E396*Assumptions!$B$5</f>
        <v>14.2640256574655</v>
      </c>
      <c r="H396" s="60" t="n">
        <f aca="false">F396*Assumptions!$B$5</f>
        <v>18.5432333547051</v>
      </c>
    </row>
    <row r="397" customFormat="false" ht="15" hidden="false" customHeight="true" outlineLevel="0" collapsed="false">
      <c r="A397" s="26" t="s">
        <v>432</v>
      </c>
      <c r="B397" s="57" t="n">
        <v>1</v>
      </c>
      <c r="C397" s="57" t="n">
        <f aca="false">B397*1.3</f>
        <v>1.3</v>
      </c>
      <c r="D397" s="58" t="n">
        <f aca="false">'Product Costs'!H69</f>
        <v>0.0454301215293869</v>
      </c>
      <c r="E397" s="59" t="n">
        <f aca="false">B397*D397</f>
        <v>0.0454301215293869</v>
      </c>
      <c r="F397" s="59" t="n">
        <f aca="false">C397*D397</f>
        <v>0.059059157988203</v>
      </c>
      <c r="G397" s="60" t="n">
        <f aca="false">E397*Assumptions!$B$5</f>
        <v>6.13306640646723</v>
      </c>
      <c r="H397" s="60" t="n">
        <f aca="false">F397*Assumptions!$B$5</f>
        <v>7.9729863284074</v>
      </c>
    </row>
    <row r="398" customFormat="false" ht="15" hidden="false" customHeight="true" outlineLevel="0" collapsed="false">
      <c r="A398" s="26" t="s">
        <v>427</v>
      </c>
      <c r="B398" s="57" t="n">
        <v>1</v>
      </c>
      <c r="C398" s="57" t="n">
        <f aca="false">B398*1.3</f>
        <v>1.3</v>
      </c>
      <c r="D398" s="58" t="n">
        <f aca="false">'Product Costs'!H30</f>
        <v>0.289825336710602</v>
      </c>
      <c r="E398" s="59" t="n">
        <f aca="false">B398*D398</f>
        <v>0.289825336710602</v>
      </c>
      <c r="F398" s="59" t="n">
        <f aca="false">C398*D398</f>
        <v>0.376772937723783</v>
      </c>
      <c r="G398" s="60" t="n">
        <f aca="false">E398*Assumptions!$B$5</f>
        <v>39.1264204559313</v>
      </c>
      <c r="H398" s="60" t="n">
        <f aca="false">F398*Assumptions!$B$5</f>
        <v>50.8643465927107</v>
      </c>
    </row>
    <row r="399" customFormat="false" ht="15" hidden="false" customHeight="true" outlineLevel="0" collapsed="false">
      <c r="A399" s="26" t="s">
        <v>410</v>
      </c>
      <c r="B399" s="57" t="n">
        <v>0.5</v>
      </c>
      <c r="C399" s="57" t="n">
        <f aca="false">B399*1.3</f>
        <v>0.65</v>
      </c>
      <c r="D399" s="58" t="n">
        <f aca="false">'Product Costs'!H12</f>
        <v>0.137667034937536</v>
      </c>
      <c r="E399" s="59" t="n">
        <f aca="false">B399*D399</f>
        <v>0.068833517468768</v>
      </c>
      <c r="F399" s="59" t="n">
        <f aca="false">C399*D399</f>
        <v>0.0894835727093985</v>
      </c>
      <c r="G399" s="60" t="n">
        <f aca="false">E399*Assumptions!$B$5</f>
        <v>9.29252485828368</v>
      </c>
      <c r="H399" s="60" t="n">
        <f aca="false">F399*Assumptions!$B$5</f>
        <v>12.0802823157688</v>
      </c>
    </row>
    <row r="400" customFormat="false" ht="15" hidden="false" customHeight="true" outlineLevel="0" collapsed="false">
      <c r="A400" s="26" t="s">
        <v>402</v>
      </c>
      <c r="B400" s="57" t="n">
        <v>0.2</v>
      </c>
      <c r="C400" s="57" t="n">
        <f aca="false">B400*1.3</f>
        <v>0.26</v>
      </c>
      <c r="D400" s="58" t="n">
        <f aca="false">'Product Costs'!H53</f>
        <v>0.137667034937536</v>
      </c>
      <c r="E400" s="59" t="n">
        <f aca="false">B400*D400</f>
        <v>0.0275334069875072</v>
      </c>
      <c r="F400" s="59" t="n">
        <f aca="false">C400*D400</f>
        <v>0.0357934290837594</v>
      </c>
      <c r="G400" s="60" t="n">
        <f aca="false">E400*Assumptions!$B$5</f>
        <v>3.71700994331347</v>
      </c>
      <c r="H400" s="60" t="n">
        <f aca="false">F400*Assumptions!$B$5</f>
        <v>4.83211292630752</v>
      </c>
    </row>
    <row r="401" customFormat="false" ht="15" hidden="false" customHeight="true" outlineLevel="0" collapsed="false">
      <c r="A401" s="26" t="s">
        <v>441</v>
      </c>
      <c r="B401" s="57" t="n">
        <v>1</v>
      </c>
      <c r="C401" s="57" t="n">
        <f aca="false">B401*1.3</f>
        <v>1.3</v>
      </c>
      <c r="D401" s="58" t="n">
        <f aca="false">'Product Costs'!H52</f>
        <v>0.0413001104812608</v>
      </c>
      <c r="E401" s="59" t="n">
        <f aca="false">B401*D401</f>
        <v>0.0413001104812608</v>
      </c>
      <c r="F401" s="59" t="n">
        <f aca="false">C401*D401</f>
        <v>0.0536901436256391</v>
      </c>
      <c r="G401" s="60" t="n">
        <f aca="false">E401*Assumptions!$B$5</f>
        <v>5.57551491497021</v>
      </c>
      <c r="H401" s="60" t="n">
        <f aca="false">F401*Assumptions!$B$5</f>
        <v>7.24816938946128</v>
      </c>
    </row>
    <row r="402" customFormat="false" ht="15" hidden="false" customHeight="true" outlineLevel="0" collapsed="false">
      <c r="A402" s="26" t="s">
        <v>440</v>
      </c>
      <c r="B402" s="57" t="n">
        <v>1</v>
      </c>
      <c r="C402" s="57" t="n">
        <f aca="false">B402*1.3</f>
        <v>1.3</v>
      </c>
      <c r="D402" s="58" t="n">
        <f aca="false">'Product Costs'!H15</f>
        <v>158.317090178166</v>
      </c>
      <c r="E402" s="59" t="n">
        <f aca="false">B402*D402</f>
        <v>158.317090178166</v>
      </c>
      <c r="F402" s="59" t="n">
        <f aca="false">C402*D402</f>
        <v>205.812217231616</v>
      </c>
      <c r="G402" s="60" t="n">
        <f aca="false">E402*Assumptions!$B$5</f>
        <v>21372.8071740525</v>
      </c>
      <c r="H402" s="60" t="n">
        <f aca="false">F402*Assumptions!$B$5</f>
        <v>27784.6493262682</v>
      </c>
    </row>
    <row r="403" customFormat="false" ht="15" hidden="false" customHeight="true" outlineLevel="0" collapsed="false">
      <c r="A403" s="26" t="s">
        <v>441</v>
      </c>
      <c r="B403" s="57" t="n">
        <v>1</v>
      </c>
      <c r="C403" s="57" t="n">
        <f aca="false">B403*1.3</f>
        <v>1.3</v>
      </c>
      <c r="D403" s="58" t="n">
        <f aca="false">'Product Costs'!H52</f>
        <v>0.0413001104812608</v>
      </c>
      <c r="E403" s="59" t="n">
        <f aca="false">B403*D403</f>
        <v>0.0413001104812608</v>
      </c>
      <c r="F403" s="59" t="n">
        <f aca="false">C403*D403</f>
        <v>0.0536901436256391</v>
      </c>
      <c r="G403" s="60" t="n">
        <f aca="false">E403*Assumptions!$B$5</f>
        <v>5.57551491497021</v>
      </c>
      <c r="H403" s="60" t="n">
        <f aca="false">F403*Assumptions!$B$5</f>
        <v>7.24816938946128</v>
      </c>
    </row>
    <row r="404" customFormat="false" ht="15" hidden="false" customHeight="true" outlineLevel="0" collapsed="false">
      <c r="A404" s="26" t="s">
        <v>442</v>
      </c>
      <c r="B404" s="57" t="n">
        <v>1</v>
      </c>
      <c r="C404" s="57" t="n">
        <f aca="false">B404*1.3</f>
        <v>1.3</v>
      </c>
      <c r="D404" s="58" t="n">
        <f aca="false">'Product Costs'!H65</f>
        <v>0.413001104812608</v>
      </c>
      <c r="E404" s="59" t="n">
        <f aca="false">B404*D404</f>
        <v>0.413001104812608</v>
      </c>
      <c r="F404" s="59" t="n">
        <f aca="false">C404*D404</f>
        <v>0.536901436256391</v>
      </c>
      <c r="G404" s="60" t="n">
        <f aca="false">E404*Assumptions!$B$5</f>
        <v>55.7551491497021</v>
      </c>
      <c r="H404" s="60" t="n">
        <f aca="false">F404*Assumptions!$B$5</f>
        <v>72.4816938946127</v>
      </c>
    </row>
    <row r="405" customFormat="false" ht="15" hidden="false" customHeight="true" outlineLevel="0" collapsed="false">
      <c r="A405" s="26" t="s">
        <v>443</v>
      </c>
      <c r="B405" s="57" t="n">
        <v>1</v>
      </c>
      <c r="C405" s="57" t="n">
        <f aca="false">B405*1.3</f>
        <v>1.3</v>
      </c>
      <c r="D405" s="58" t="n">
        <f aca="false">'Product Costs'!H63</f>
        <v>0.137667034937536</v>
      </c>
      <c r="E405" s="59" t="n">
        <f aca="false">B405*D405</f>
        <v>0.137667034937536</v>
      </c>
      <c r="F405" s="59" t="n">
        <f aca="false">C405*D405</f>
        <v>0.178967145418797</v>
      </c>
      <c r="G405" s="60" t="n">
        <f aca="false">E405*Assumptions!$B$5</f>
        <v>18.5850497165674</v>
      </c>
      <c r="H405" s="60" t="n">
        <f aca="false">F405*Assumptions!$B$5</f>
        <v>24.1605646315376</v>
      </c>
    </row>
    <row r="406" customFormat="false" ht="15" hidden="false" customHeight="true" outlineLevel="0" collapsed="false">
      <c r="A406" s="26" t="s">
        <v>444</v>
      </c>
      <c r="B406" s="57" t="n">
        <v>1</v>
      </c>
      <c r="C406" s="57" t="n">
        <f aca="false">B406*1.3</f>
        <v>1.3</v>
      </c>
      <c r="D406" s="58" t="n">
        <f aca="false">'Product Costs'!H64</f>
        <v>0.826002209625216</v>
      </c>
      <c r="E406" s="59" t="n">
        <f aca="false">B406*D406</f>
        <v>0.826002209625216</v>
      </c>
      <c r="F406" s="59" t="n">
        <f aca="false">C406*D406</f>
        <v>1.07380287251278</v>
      </c>
      <c r="G406" s="60" t="n">
        <f aca="false">E406*Assumptions!$B$5</f>
        <v>111.510298299404</v>
      </c>
      <c r="H406" s="60" t="n">
        <f aca="false">F406*Assumptions!$B$5</f>
        <v>144.963387789225</v>
      </c>
    </row>
    <row r="407" customFormat="false" ht="15" hidden="false" customHeight="true" outlineLevel="0" collapsed="false">
      <c r="A407" s="26" t="s">
        <v>445</v>
      </c>
      <c r="B407" s="57" t="n">
        <v>1</v>
      </c>
      <c r="C407" s="57" t="n">
        <f aca="false">B407*1.3</f>
        <v>1.3</v>
      </c>
      <c r="D407" s="58" t="n">
        <f aca="false">'Product Costs'!H17</f>
        <v>22.3708931773496</v>
      </c>
      <c r="E407" s="59" t="n">
        <f aca="false">B407*D407</f>
        <v>22.3708931773496</v>
      </c>
      <c r="F407" s="59" t="n">
        <f aca="false">C407*D407</f>
        <v>29.0821611305545</v>
      </c>
      <c r="G407" s="60" t="n">
        <f aca="false">E407*Assumptions!$B$5</f>
        <v>3020.0705789422</v>
      </c>
      <c r="H407" s="60" t="n">
        <f aca="false">F407*Assumptions!$B$5</f>
        <v>3926.09175262486</v>
      </c>
    </row>
    <row r="408" customFormat="false" ht="15" hidden="false" customHeight="true" outlineLevel="0" collapsed="false">
      <c r="A408" s="26" t="s">
        <v>435</v>
      </c>
      <c r="B408" s="57" t="n">
        <v>1</v>
      </c>
      <c r="C408" s="57" t="n">
        <f aca="false">B408*1.3</f>
        <v>1.3</v>
      </c>
      <c r="D408" s="58" t="n">
        <f aca="false">'Product Costs'!H13</f>
        <v>0.475426697231731</v>
      </c>
      <c r="E408" s="59" t="n">
        <f aca="false">B408*D408</f>
        <v>0.475426697231731</v>
      </c>
      <c r="F408" s="59" t="n">
        <f aca="false">C408*D408</f>
        <v>0.618054706401251</v>
      </c>
      <c r="G408" s="60" t="n">
        <f aca="false">E408*Assumptions!$B$5</f>
        <v>64.1826041262837</v>
      </c>
      <c r="H408" s="60" t="n">
        <f aca="false">F408*Assumptions!$B$5</f>
        <v>83.4373853641688</v>
      </c>
    </row>
    <row r="409" customFormat="false" ht="15" hidden="false" customHeight="true" outlineLevel="0" collapsed="false">
      <c r="A409" s="61" t="s">
        <v>386</v>
      </c>
      <c r="B409" s="62"/>
      <c r="C409" s="62"/>
      <c r="D409" s="62"/>
      <c r="E409" s="63" t="n">
        <f aca="false">SUM(E389:E408)</f>
        <v>187.023308994617</v>
      </c>
      <c r="F409" s="63" t="n">
        <f aca="false">SUM(F389:F408)</f>
        <v>243.130301693002</v>
      </c>
      <c r="G409" s="64" t="n">
        <f aca="false">E409*Assumptions!$B$5</f>
        <v>25248.1467142733</v>
      </c>
      <c r="H409" s="64" t="n">
        <f aca="false">F409*Assumptions!$B$5</f>
        <v>32822.5907285552</v>
      </c>
    </row>
    <row r="410" customFormat="false" ht="15" hidden="false" customHeight="true" outlineLevel="0" collapsed="false">
      <c r="A410" s="26" t="s">
        <v>436</v>
      </c>
      <c r="E410" s="65" t="n">
        <f aca="false">E409*0.25</f>
        <v>46.7558272486542</v>
      </c>
      <c r="F410" s="65" t="n">
        <f aca="false">F409*0.25</f>
        <v>60.7825754232504</v>
      </c>
      <c r="G410" s="28" t="n">
        <f aca="false">E410*Assumptions!$B$5</f>
        <v>6312.03667856832</v>
      </c>
      <c r="H410" s="28" t="n">
        <f aca="false">F410*Assumptions!$B$5</f>
        <v>8205.64768213881</v>
      </c>
    </row>
    <row r="411" customFormat="false" ht="15" hidden="false" customHeight="true" outlineLevel="0" collapsed="false">
      <c r="A411" s="61" t="s">
        <v>388</v>
      </c>
      <c r="B411" s="62"/>
      <c r="C411" s="62"/>
      <c r="D411" s="62"/>
      <c r="E411" s="63" t="n">
        <f aca="false">E409+E410</f>
        <v>233.779136243271</v>
      </c>
      <c r="F411" s="63" t="n">
        <f aca="false">F409+F410</f>
        <v>303.912877116252</v>
      </c>
      <c r="G411" s="64" t="n">
        <f aca="false">E411*Assumptions!$B$5</f>
        <v>31560.1833928416</v>
      </c>
      <c r="H411" s="64" t="n">
        <f aca="false">F411*Assumptions!$B$5</f>
        <v>41028.238410694</v>
      </c>
    </row>
    <row r="412" customFormat="false" ht="15" hidden="false" customHeight="true" outlineLevel="0" collapsed="false">
      <c r="A412" s="66" t="s">
        <v>389</v>
      </c>
      <c r="B412" s="67"/>
      <c r="C412" s="67"/>
      <c r="D412" s="67"/>
      <c r="E412" s="68" t="n">
        <f aca="false">G412/Assumptions!$B$5</f>
        <v>481.481481481481</v>
      </c>
      <c r="F412" s="68" t="n">
        <f aca="false">H412/Assumptions!$B$5</f>
        <v>592.592592592593</v>
      </c>
      <c r="G412" s="69" t="n">
        <v>65000</v>
      </c>
      <c r="H412" s="69" t="n">
        <v>80000</v>
      </c>
    </row>
    <row r="413" customFormat="false" ht="15" hidden="false" customHeight="true" outlineLevel="0" collapsed="false">
      <c r="A413" s="61" t="s">
        <v>390</v>
      </c>
      <c r="B413" s="62"/>
      <c r="C413" s="62"/>
      <c r="D413" s="62"/>
      <c r="E413" s="63" t="n">
        <f aca="false">E412-E411</f>
        <v>247.702345238211</v>
      </c>
      <c r="F413" s="63" t="n">
        <f aca="false">F412-F411</f>
        <v>288.67971547634</v>
      </c>
      <c r="G413" s="64" t="n">
        <f aca="false">G412-G411</f>
        <v>33439.8166071584</v>
      </c>
      <c r="H413" s="64" t="n">
        <f aca="false">H412-H411</f>
        <v>38971.761589306</v>
      </c>
    </row>
    <row r="414" customFormat="false" ht="15" hidden="false" customHeight="true" outlineLevel="0" collapsed="false">
      <c r="A414" s="61" t="s">
        <v>391</v>
      </c>
      <c r="B414" s="62"/>
      <c r="C414" s="62"/>
      <c r="D414" s="62"/>
      <c r="E414" s="62"/>
      <c r="F414" s="62"/>
      <c r="G414" s="70" t="n">
        <f aca="false">G413/G412</f>
        <v>0.514458717033207</v>
      </c>
      <c r="H414" s="70" t="n">
        <f aca="false">H413/H412</f>
        <v>0.487147019866324</v>
      </c>
    </row>
    <row r="416" customFormat="false" ht="15" hidden="false" customHeight="true" outlineLevel="0" collapsed="false">
      <c r="A416" s="22" t="s">
        <v>476</v>
      </c>
      <c r="B416" s="55" t="s">
        <v>477</v>
      </c>
      <c r="C416" s="23"/>
      <c r="D416" s="23"/>
      <c r="E416" s="23"/>
      <c r="F416" s="23"/>
      <c r="G416" s="23"/>
      <c r="H416" s="23"/>
    </row>
    <row r="417" customFormat="false" ht="117" hidden="false" customHeight="true" outlineLevel="0" collapsed="false">
      <c r="A417" s="26" t="s">
        <v>361</v>
      </c>
      <c r="B417" s="56" t="s">
        <v>478</v>
      </c>
      <c r="C417" s="56"/>
      <c r="D417" s="56"/>
      <c r="E417" s="56"/>
      <c r="F417" s="56"/>
      <c r="G417" s="56"/>
      <c r="H417" s="56"/>
    </row>
    <row r="418" customFormat="false" ht="23.25" hidden="false" customHeight="true" outlineLevel="0" collapsed="false">
      <c r="A418" s="24" t="s">
        <v>363</v>
      </c>
      <c r="B418" s="25" t="s">
        <v>364</v>
      </c>
      <c r="C418" s="25" t="s">
        <v>365</v>
      </c>
      <c r="D418" s="25" t="s">
        <v>366</v>
      </c>
      <c r="E418" s="25" t="s">
        <v>367</v>
      </c>
      <c r="F418" s="25" t="s">
        <v>368</v>
      </c>
      <c r="G418" s="25" t="s">
        <v>369</v>
      </c>
      <c r="H418" s="25" t="s">
        <v>370</v>
      </c>
    </row>
    <row r="419" customFormat="false" ht="15" hidden="false" customHeight="true" outlineLevel="0" collapsed="false">
      <c r="A419" s="26" t="s">
        <v>419</v>
      </c>
      <c r="B419" s="57" t="n">
        <v>1</v>
      </c>
      <c r="C419" s="57" t="n">
        <f aca="false">B419*1.3</f>
        <v>1.3</v>
      </c>
      <c r="D419" s="58" t="n">
        <f aca="false">'Product Costs'!H41</f>
        <v>0.144369924279064</v>
      </c>
      <c r="E419" s="59" t="n">
        <f aca="false">B419*D419</f>
        <v>0.144369924279064</v>
      </c>
      <c r="F419" s="59" t="n">
        <f aca="false">C419*D419</f>
        <v>0.187680901562783</v>
      </c>
      <c r="G419" s="60" t="n">
        <f aca="false">E419*Assumptions!$B$5</f>
        <v>19.4899397776736</v>
      </c>
      <c r="H419" s="60" t="n">
        <f aca="false">F419*Assumptions!$B$5</f>
        <v>25.3369217109757</v>
      </c>
    </row>
    <row r="420" customFormat="false" ht="15" hidden="false" customHeight="true" outlineLevel="0" collapsed="false">
      <c r="A420" s="26" t="s">
        <v>420</v>
      </c>
      <c r="B420" s="57" t="n">
        <v>1</v>
      </c>
      <c r="C420" s="57" t="n">
        <f aca="false">B420*1.3</f>
        <v>1.3</v>
      </c>
      <c r="D420" s="58" t="n">
        <f aca="false">'Product Costs'!H68</f>
        <v>0.385467697825101</v>
      </c>
      <c r="E420" s="59" t="n">
        <f aca="false">B420*D420</f>
        <v>0.385467697825101</v>
      </c>
      <c r="F420" s="59" t="n">
        <f aca="false">C420*D420</f>
        <v>0.501108007172631</v>
      </c>
      <c r="G420" s="60" t="n">
        <f aca="false">E420*Assumptions!$B$5</f>
        <v>52.0381392063886</v>
      </c>
      <c r="H420" s="60" t="n">
        <f aca="false">F420*Assumptions!$B$5</f>
        <v>67.6495809683052</v>
      </c>
    </row>
    <row r="421" customFormat="false" ht="15" hidden="false" customHeight="true" outlineLevel="0" collapsed="false">
      <c r="A421" s="26" t="s">
        <v>416</v>
      </c>
      <c r="B421" s="57" t="n">
        <v>1</v>
      </c>
      <c r="C421" s="57" t="n">
        <f aca="false">B421*1.3</f>
        <v>1.3</v>
      </c>
      <c r="D421" s="58" t="n">
        <f aca="false">'Product Costs'!H38</f>
        <v>0.90466908673238</v>
      </c>
      <c r="E421" s="59" t="n">
        <f aca="false">B421*D421</f>
        <v>0.90466908673238</v>
      </c>
      <c r="F421" s="59" t="n">
        <f aca="false">C421*D421</f>
        <v>1.17606981275209</v>
      </c>
      <c r="G421" s="60" t="n">
        <f aca="false">E421*Assumptions!$B$5</f>
        <v>122.130326708871</v>
      </c>
      <c r="H421" s="60" t="n">
        <f aca="false">F421*Assumptions!$B$5</f>
        <v>158.769424721533</v>
      </c>
    </row>
    <row r="422" customFormat="false" ht="15" hidden="false" customHeight="true" outlineLevel="0" collapsed="false">
      <c r="A422" s="26" t="s">
        <v>417</v>
      </c>
      <c r="B422" s="57" t="n">
        <v>1</v>
      </c>
      <c r="C422" s="57" t="n">
        <f aca="false">B422*1.3</f>
        <v>1.3</v>
      </c>
      <c r="D422" s="58" t="n">
        <f aca="false">'Product Costs'!H39</f>
        <v>0.90466908673238</v>
      </c>
      <c r="E422" s="59" t="n">
        <f aca="false">B422*D422</f>
        <v>0.90466908673238</v>
      </c>
      <c r="F422" s="59" t="n">
        <f aca="false">C422*D422</f>
        <v>1.17606981275209</v>
      </c>
      <c r="G422" s="60" t="n">
        <f aca="false">E422*Assumptions!$B$5</f>
        <v>122.130326708871</v>
      </c>
      <c r="H422" s="60" t="n">
        <f aca="false">F422*Assumptions!$B$5</f>
        <v>158.769424721533</v>
      </c>
    </row>
    <row r="423" customFormat="false" ht="15" hidden="false" customHeight="true" outlineLevel="0" collapsed="false">
      <c r="A423" s="26" t="s">
        <v>418</v>
      </c>
      <c r="B423" s="57" t="n">
        <v>1</v>
      </c>
      <c r="C423" s="57" t="n">
        <f aca="false">B423*1.3</f>
        <v>1.3</v>
      </c>
      <c r="D423" s="58" t="n">
        <f aca="false">'Product Costs'!H40</f>
        <v>0.90466908673238</v>
      </c>
      <c r="E423" s="59" t="n">
        <f aca="false">B423*D423</f>
        <v>0.90466908673238</v>
      </c>
      <c r="F423" s="59" t="n">
        <f aca="false">C423*D423</f>
        <v>1.17606981275209</v>
      </c>
      <c r="G423" s="60" t="n">
        <f aca="false">E423*Assumptions!$B$5</f>
        <v>122.130326708871</v>
      </c>
      <c r="H423" s="60" t="n">
        <f aca="false">F423*Assumptions!$B$5</f>
        <v>158.769424721533</v>
      </c>
    </row>
    <row r="424" customFormat="false" ht="15" hidden="false" customHeight="true" outlineLevel="0" collapsed="false">
      <c r="A424" s="26" t="s">
        <v>428</v>
      </c>
      <c r="B424" s="57" t="n">
        <v>1</v>
      </c>
      <c r="C424" s="57" t="n">
        <f aca="false">B424*1.3</f>
        <v>1.3</v>
      </c>
      <c r="D424" s="58" t="n">
        <f aca="false">'Product Costs'!H44</f>
        <v>0.371700994331347</v>
      </c>
      <c r="E424" s="59" t="n">
        <f aca="false">B424*D424</f>
        <v>0.371700994331347</v>
      </c>
      <c r="F424" s="59" t="n">
        <f aca="false">C424*D424</f>
        <v>0.483211292630752</v>
      </c>
      <c r="G424" s="60" t="n">
        <f aca="false">E424*Assumptions!$B$5</f>
        <v>50.1796342347319</v>
      </c>
      <c r="H424" s="60" t="n">
        <f aca="false">F424*Assumptions!$B$5</f>
        <v>65.2335245051515</v>
      </c>
    </row>
    <row r="425" customFormat="false" ht="15" hidden="false" customHeight="true" outlineLevel="0" collapsed="false">
      <c r="A425" s="26" t="s">
        <v>429</v>
      </c>
      <c r="B425" s="57" t="n">
        <v>1</v>
      </c>
      <c r="C425" s="57" t="n">
        <f aca="false">B425*1.3</f>
        <v>1.3</v>
      </c>
      <c r="D425" s="58" t="n">
        <f aca="false">'Product Costs'!H45</f>
        <v>0.247800662887565</v>
      </c>
      <c r="E425" s="59" t="n">
        <f aca="false">B425*D425</f>
        <v>0.247800662887565</v>
      </c>
      <c r="F425" s="59" t="n">
        <f aca="false">C425*D425</f>
        <v>0.322140861753834</v>
      </c>
      <c r="G425" s="60" t="n">
        <f aca="false">E425*Assumptions!$B$5</f>
        <v>33.4530894898213</v>
      </c>
      <c r="H425" s="60" t="n">
        <f aca="false">F425*Assumptions!$B$5</f>
        <v>43.4890163367677</v>
      </c>
    </row>
    <row r="426" customFormat="false" ht="15" hidden="false" customHeight="true" outlineLevel="0" collapsed="false">
      <c r="A426" s="26" t="s">
        <v>430</v>
      </c>
      <c r="B426" s="57" t="n">
        <v>1</v>
      </c>
      <c r="C426" s="57" t="n">
        <f aca="false">B426*1.3</f>
        <v>1.3</v>
      </c>
      <c r="D426" s="58" t="n">
        <f aca="false">'Product Costs'!H46</f>
        <v>0.105659449314559</v>
      </c>
      <c r="E426" s="59" t="n">
        <f aca="false">B426*D426</f>
        <v>0.105659449314559</v>
      </c>
      <c r="F426" s="59" t="n">
        <f aca="false">C426*D426</f>
        <v>0.137357284108927</v>
      </c>
      <c r="G426" s="60" t="n">
        <f aca="false">E426*Assumptions!$B$5</f>
        <v>14.2640256574655</v>
      </c>
      <c r="H426" s="60" t="n">
        <f aca="false">F426*Assumptions!$B$5</f>
        <v>18.5432333547051</v>
      </c>
    </row>
    <row r="427" customFormat="false" ht="15" hidden="false" customHeight="true" outlineLevel="0" collapsed="false">
      <c r="A427" s="26" t="s">
        <v>432</v>
      </c>
      <c r="B427" s="57" t="n">
        <v>1</v>
      </c>
      <c r="C427" s="57" t="n">
        <f aca="false">B427*1.3</f>
        <v>1.3</v>
      </c>
      <c r="D427" s="58" t="n">
        <f aca="false">'Product Costs'!H69</f>
        <v>0.0454301215293869</v>
      </c>
      <c r="E427" s="59" t="n">
        <f aca="false">B427*D427</f>
        <v>0.0454301215293869</v>
      </c>
      <c r="F427" s="59" t="n">
        <f aca="false">C427*D427</f>
        <v>0.059059157988203</v>
      </c>
      <c r="G427" s="60" t="n">
        <f aca="false">E427*Assumptions!$B$5</f>
        <v>6.13306640646723</v>
      </c>
      <c r="H427" s="60" t="n">
        <f aca="false">F427*Assumptions!$B$5</f>
        <v>7.9729863284074</v>
      </c>
    </row>
    <row r="428" customFormat="false" ht="15" hidden="false" customHeight="true" outlineLevel="0" collapsed="false">
      <c r="A428" s="26" t="s">
        <v>427</v>
      </c>
      <c r="B428" s="57" t="n">
        <v>1</v>
      </c>
      <c r="C428" s="57" t="n">
        <f aca="false">B428*1.3</f>
        <v>1.3</v>
      </c>
      <c r="D428" s="58" t="n">
        <f aca="false">'Product Costs'!H30</f>
        <v>0.289825336710602</v>
      </c>
      <c r="E428" s="59" t="n">
        <f aca="false">B428*D428</f>
        <v>0.289825336710602</v>
      </c>
      <c r="F428" s="59" t="n">
        <f aca="false">C428*D428</f>
        <v>0.376772937723783</v>
      </c>
      <c r="G428" s="60" t="n">
        <f aca="false">E428*Assumptions!$B$5</f>
        <v>39.1264204559313</v>
      </c>
      <c r="H428" s="60" t="n">
        <f aca="false">F428*Assumptions!$B$5</f>
        <v>50.8643465927107</v>
      </c>
    </row>
    <row r="429" customFormat="false" ht="15" hidden="false" customHeight="true" outlineLevel="0" collapsed="false">
      <c r="A429" s="26" t="s">
        <v>410</v>
      </c>
      <c r="B429" s="57" t="n">
        <v>0.5</v>
      </c>
      <c r="C429" s="57" t="n">
        <f aca="false">B429*1.3</f>
        <v>0.65</v>
      </c>
      <c r="D429" s="58" t="n">
        <f aca="false">'Product Costs'!H12</f>
        <v>0.137667034937536</v>
      </c>
      <c r="E429" s="59" t="n">
        <f aca="false">B429*D429</f>
        <v>0.068833517468768</v>
      </c>
      <c r="F429" s="59" t="n">
        <f aca="false">C429*D429</f>
        <v>0.0894835727093985</v>
      </c>
      <c r="G429" s="60" t="n">
        <f aca="false">E429*Assumptions!$B$5</f>
        <v>9.29252485828368</v>
      </c>
      <c r="H429" s="60" t="n">
        <f aca="false">F429*Assumptions!$B$5</f>
        <v>12.0802823157688</v>
      </c>
    </row>
    <row r="430" customFormat="false" ht="15" hidden="false" customHeight="true" outlineLevel="0" collapsed="false">
      <c r="A430" s="26" t="s">
        <v>402</v>
      </c>
      <c r="B430" s="57" t="n">
        <v>0.2</v>
      </c>
      <c r="C430" s="57" t="n">
        <f aca="false">B430*1.3</f>
        <v>0.26</v>
      </c>
      <c r="D430" s="58" t="n">
        <f aca="false">'Product Costs'!H53</f>
        <v>0.137667034937536</v>
      </c>
      <c r="E430" s="59" t="n">
        <f aca="false">B430*D430</f>
        <v>0.0275334069875072</v>
      </c>
      <c r="F430" s="59" t="n">
        <f aca="false">C430*D430</f>
        <v>0.0357934290837594</v>
      </c>
      <c r="G430" s="60" t="n">
        <f aca="false">E430*Assumptions!$B$5</f>
        <v>3.71700994331347</v>
      </c>
      <c r="H430" s="60" t="n">
        <f aca="false">F430*Assumptions!$B$5</f>
        <v>4.83211292630752</v>
      </c>
    </row>
    <row r="431" customFormat="false" ht="15" hidden="false" customHeight="true" outlineLevel="0" collapsed="false">
      <c r="A431" s="26" t="s">
        <v>441</v>
      </c>
      <c r="B431" s="57" t="n">
        <v>1</v>
      </c>
      <c r="C431" s="57" t="n">
        <f aca="false">B431*1.3</f>
        <v>1.3</v>
      </c>
      <c r="D431" s="58" t="n">
        <f aca="false">'Product Costs'!H52</f>
        <v>0.0413001104812608</v>
      </c>
      <c r="E431" s="59" t="n">
        <f aca="false">B431*D431</f>
        <v>0.0413001104812608</v>
      </c>
      <c r="F431" s="59" t="n">
        <f aca="false">C431*D431</f>
        <v>0.0536901436256391</v>
      </c>
      <c r="G431" s="60" t="n">
        <f aca="false">E431*Assumptions!$B$5</f>
        <v>5.57551491497021</v>
      </c>
      <c r="H431" s="60" t="n">
        <f aca="false">F431*Assumptions!$B$5</f>
        <v>7.24816938946128</v>
      </c>
    </row>
    <row r="432" customFormat="false" ht="15" hidden="false" customHeight="true" outlineLevel="0" collapsed="false">
      <c r="A432" s="26" t="s">
        <v>449</v>
      </c>
      <c r="B432" s="57" t="n">
        <v>1</v>
      </c>
      <c r="C432" s="57" t="n">
        <f aca="false">B432*1.3</f>
        <v>1.3</v>
      </c>
      <c r="D432" s="58" t="n">
        <f aca="false">'Product Costs'!H16</f>
        <v>378.584346078224</v>
      </c>
      <c r="E432" s="59" t="n">
        <f aca="false">B432*D432</f>
        <v>378.584346078224</v>
      </c>
      <c r="F432" s="59" t="n">
        <f aca="false">C432*D432</f>
        <v>492.159649901691</v>
      </c>
      <c r="G432" s="60" t="n">
        <f aca="false">E432*Assumptions!$B$5</f>
        <v>51108.8867205603</v>
      </c>
      <c r="H432" s="60" t="n">
        <f aca="false">F432*Assumptions!$B$5</f>
        <v>66441.5527367284</v>
      </c>
    </row>
    <row r="433" customFormat="false" ht="15" hidden="false" customHeight="true" outlineLevel="0" collapsed="false">
      <c r="A433" s="26" t="s">
        <v>441</v>
      </c>
      <c r="B433" s="57" t="n">
        <v>2</v>
      </c>
      <c r="C433" s="57" t="n">
        <f aca="false">B433*1.3</f>
        <v>2.6</v>
      </c>
      <c r="D433" s="58" t="n">
        <f aca="false">'Product Costs'!H52</f>
        <v>0.0413001104812608</v>
      </c>
      <c r="E433" s="59" t="n">
        <f aca="false">B433*D433</f>
        <v>0.0826002209625217</v>
      </c>
      <c r="F433" s="59" t="n">
        <f aca="false">C433*D433</f>
        <v>0.107380287251278</v>
      </c>
      <c r="G433" s="60" t="n">
        <f aca="false">E433*Assumptions!$B$5</f>
        <v>11.1510298299404</v>
      </c>
      <c r="H433" s="60" t="n">
        <f aca="false">F433*Assumptions!$B$5</f>
        <v>14.4963387789226</v>
      </c>
    </row>
    <row r="434" customFormat="false" ht="15" hidden="false" customHeight="true" outlineLevel="0" collapsed="false">
      <c r="A434" s="26" t="s">
        <v>442</v>
      </c>
      <c r="B434" s="57" t="n">
        <v>2</v>
      </c>
      <c r="C434" s="57" t="n">
        <f aca="false">B434*1.3</f>
        <v>2.6</v>
      </c>
      <c r="D434" s="58" t="n">
        <f aca="false">'Product Costs'!H65</f>
        <v>0.413001104812608</v>
      </c>
      <c r="E434" s="59" t="n">
        <f aca="false">B434*D434</f>
        <v>0.826002209625216</v>
      </c>
      <c r="F434" s="59" t="n">
        <f aca="false">C434*D434</f>
        <v>1.07380287251278</v>
      </c>
      <c r="G434" s="60" t="n">
        <f aca="false">E434*Assumptions!$B$5</f>
        <v>111.510298299404</v>
      </c>
      <c r="H434" s="60" t="n">
        <f aca="false">F434*Assumptions!$B$5</f>
        <v>144.963387789225</v>
      </c>
    </row>
    <row r="435" customFormat="false" ht="15" hidden="false" customHeight="true" outlineLevel="0" collapsed="false">
      <c r="A435" s="26" t="s">
        <v>443</v>
      </c>
      <c r="B435" s="57" t="n">
        <v>1</v>
      </c>
      <c r="C435" s="57" t="n">
        <f aca="false">B435*1.3</f>
        <v>1.3</v>
      </c>
      <c r="D435" s="58" t="n">
        <f aca="false">'Product Costs'!H63</f>
        <v>0.137667034937536</v>
      </c>
      <c r="E435" s="59" t="n">
        <f aca="false">B435*D435</f>
        <v>0.137667034937536</v>
      </c>
      <c r="F435" s="59" t="n">
        <f aca="false">C435*D435</f>
        <v>0.178967145418797</v>
      </c>
      <c r="G435" s="60" t="n">
        <f aca="false">E435*Assumptions!$B$5</f>
        <v>18.5850497165674</v>
      </c>
      <c r="H435" s="60" t="n">
        <f aca="false">F435*Assumptions!$B$5</f>
        <v>24.1605646315376</v>
      </c>
    </row>
    <row r="436" customFormat="false" ht="15" hidden="false" customHeight="true" outlineLevel="0" collapsed="false">
      <c r="A436" s="26" t="s">
        <v>444</v>
      </c>
      <c r="B436" s="57" t="n">
        <v>1</v>
      </c>
      <c r="C436" s="57" t="n">
        <f aca="false">B436*1.3</f>
        <v>1.3</v>
      </c>
      <c r="D436" s="58" t="n">
        <f aca="false">'Product Costs'!H64</f>
        <v>0.826002209625216</v>
      </c>
      <c r="E436" s="59" t="n">
        <f aca="false">B436*D436</f>
        <v>0.826002209625216</v>
      </c>
      <c r="F436" s="59" t="n">
        <f aca="false">C436*D436</f>
        <v>1.07380287251278</v>
      </c>
      <c r="G436" s="60" t="n">
        <f aca="false">E436*Assumptions!$B$5</f>
        <v>111.510298299404</v>
      </c>
      <c r="H436" s="60" t="n">
        <f aca="false">F436*Assumptions!$B$5</f>
        <v>144.963387789225</v>
      </c>
    </row>
    <row r="437" customFormat="false" ht="15" hidden="false" customHeight="true" outlineLevel="0" collapsed="false">
      <c r="A437" s="26" t="s">
        <v>445</v>
      </c>
      <c r="B437" s="57" t="n">
        <v>1</v>
      </c>
      <c r="C437" s="57" t="n">
        <f aca="false">B437*1.3</f>
        <v>1.3</v>
      </c>
      <c r="D437" s="58" t="n">
        <f aca="false">'Product Costs'!H17</f>
        <v>22.3708931773496</v>
      </c>
      <c r="E437" s="59" t="n">
        <f aca="false">B437*D437</f>
        <v>22.3708931773496</v>
      </c>
      <c r="F437" s="59" t="n">
        <f aca="false">C437*D437</f>
        <v>29.0821611305545</v>
      </c>
      <c r="G437" s="60" t="n">
        <f aca="false">E437*Assumptions!$B$5</f>
        <v>3020.0705789422</v>
      </c>
      <c r="H437" s="60" t="n">
        <f aca="false">F437*Assumptions!$B$5</f>
        <v>3926.09175262486</v>
      </c>
    </row>
    <row r="438" customFormat="false" ht="15" hidden="false" customHeight="true" outlineLevel="0" collapsed="false">
      <c r="A438" s="26" t="s">
        <v>435</v>
      </c>
      <c r="B438" s="57" t="n">
        <v>1</v>
      </c>
      <c r="C438" s="57" t="n">
        <f aca="false">B438*1.3</f>
        <v>1.3</v>
      </c>
      <c r="D438" s="58" t="n">
        <f aca="false">'Product Costs'!H13</f>
        <v>0.475426697231731</v>
      </c>
      <c r="E438" s="59" t="n">
        <f aca="false">B438*D438</f>
        <v>0.475426697231731</v>
      </c>
      <c r="F438" s="59" t="n">
        <f aca="false">C438*D438</f>
        <v>0.618054706401251</v>
      </c>
      <c r="G438" s="60" t="n">
        <f aca="false">E438*Assumptions!$B$5</f>
        <v>64.1826041262837</v>
      </c>
      <c r="H438" s="60" t="n">
        <f aca="false">F438*Assumptions!$B$5</f>
        <v>83.4373853641688</v>
      </c>
    </row>
    <row r="439" customFormat="false" ht="15" hidden="false" customHeight="true" outlineLevel="0" collapsed="false">
      <c r="A439" s="26" t="s">
        <v>427</v>
      </c>
      <c r="B439" s="57" t="n">
        <v>0.5</v>
      </c>
      <c r="C439" s="57" t="n">
        <f aca="false">B439*1.3</f>
        <v>0.65</v>
      </c>
      <c r="D439" s="58" t="n">
        <f aca="false">'Product Costs'!H30</f>
        <v>0.289825336710602</v>
      </c>
      <c r="E439" s="59" t="n">
        <f aca="false">B439*D439</f>
        <v>0.144912668355301</v>
      </c>
      <c r="F439" s="59" t="n">
        <f aca="false">C439*D439</f>
        <v>0.188386468861891</v>
      </c>
      <c r="G439" s="60" t="n">
        <f aca="false">E439*Assumptions!$B$5</f>
        <v>19.5632102279657</v>
      </c>
      <c r="H439" s="60" t="n">
        <f aca="false">F439*Assumptions!$B$5</f>
        <v>25.4321732963553</v>
      </c>
    </row>
    <row r="440" customFormat="false" ht="15" hidden="false" customHeight="true" outlineLevel="0" collapsed="false">
      <c r="A440" s="61" t="s">
        <v>386</v>
      </c>
      <c r="B440" s="62"/>
      <c r="C440" s="62"/>
      <c r="D440" s="62"/>
      <c r="E440" s="63" t="n">
        <f aca="false">SUM(E419:E439)</f>
        <v>407.889778778324</v>
      </c>
      <c r="F440" s="63" t="n">
        <f aca="false">SUM(F419:F439)</f>
        <v>530.256712411821</v>
      </c>
      <c r="G440" s="64" t="n">
        <f aca="false">E440*Assumptions!$B$5</f>
        <v>55065.1201350737</v>
      </c>
      <c r="H440" s="64" t="n">
        <f aca="false">F440*Assumptions!$B$5</f>
        <v>71584.6561755958</v>
      </c>
    </row>
    <row r="441" customFormat="false" ht="15" hidden="false" customHeight="true" outlineLevel="0" collapsed="false">
      <c r="A441" s="26" t="s">
        <v>436</v>
      </c>
      <c r="E441" s="65" t="n">
        <f aca="false">E440*0.25</f>
        <v>101.972444694581</v>
      </c>
      <c r="F441" s="65" t="n">
        <f aca="false">F440*0.25</f>
        <v>132.564178102955</v>
      </c>
      <c r="G441" s="28" t="n">
        <f aca="false">E441*Assumptions!$B$5</f>
        <v>13766.2800337684</v>
      </c>
      <c r="H441" s="28" t="n">
        <f aca="false">F441*Assumptions!$B$5</f>
        <v>17896.164043899</v>
      </c>
    </row>
    <row r="442" customFormat="false" ht="15" hidden="false" customHeight="true" outlineLevel="0" collapsed="false">
      <c r="A442" s="61" t="s">
        <v>388</v>
      </c>
      <c r="B442" s="62"/>
      <c r="C442" s="62"/>
      <c r="D442" s="62"/>
      <c r="E442" s="63" t="n">
        <f aca="false">E440+E441</f>
        <v>509.862223472905</v>
      </c>
      <c r="F442" s="63" t="n">
        <f aca="false">F440+F441</f>
        <v>662.820890514776</v>
      </c>
      <c r="G442" s="64" t="n">
        <f aca="false">E442*Assumptions!$B$5</f>
        <v>68831.4001688421</v>
      </c>
      <c r="H442" s="64" t="n">
        <f aca="false">F442*Assumptions!$B$5</f>
        <v>89480.8202194947</v>
      </c>
    </row>
    <row r="443" customFormat="false" ht="15" hidden="false" customHeight="true" outlineLevel="0" collapsed="false">
      <c r="A443" s="66" t="s">
        <v>389</v>
      </c>
      <c r="B443" s="67"/>
      <c r="C443" s="67"/>
      <c r="D443" s="67"/>
      <c r="E443" s="68" t="n">
        <f aca="false">G443/Assumptions!$B$5</f>
        <v>814.814814814815</v>
      </c>
      <c r="F443" s="68" t="n">
        <f aca="false">H443/Assumptions!$B$5</f>
        <v>1000</v>
      </c>
      <c r="G443" s="69" t="n">
        <v>110000</v>
      </c>
      <c r="H443" s="69" t="n">
        <v>135000</v>
      </c>
    </row>
    <row r="444" customFormat="false" ht="15" hidden="false" customHeight="true" outlineLevel="0" collapsed="false">
      <c r="A444" s="61" t="s">
        <v>390</v>
      </c>
      <c r="B444" s="62"/>
      <c r="C444" s="62"/>
      <c r="D444" s="62"/>
      <c r="E444" s="63" t="n">
        <f aca="false">E443-E442</f>
        <v>304.95259134191</v>
      </c>
      <c r="F444" s="63" t="n">
        <f aca="false">F443-F442</f>
        <v>337.179109485224</v>
      </c>
      <c r="G444" s="64" t="n">
        <f aca="false">G443-G442</f>
        <v>41168.5998311579</v>
      </c>
      <c r="H444" s="64" t="n">
        <f aca="false">H443-H442</f>
        <v>45519.1797805053</v>
      </c>
    </row>
    <row r="445" customFormat="false" ht="15" hidden="false" customHeight="true" outlineLevel="0" collapsed="false">
      <c r="A445" s="61" t="s">
        <v>391</v>
      </c>
      <c r="B445" s="62"/>
      <c r="C445" s="62"/>
      <c r="D445" s="62"/>
      <c r="E445" s="62"/>
      <c r="F445" s="62"/>
      <c r="G445" s="70" t="n">
        <f aca="false">G444/G443</f>
        <v>0.374259998465072</v>
      </c>
      <c r="H445" s="70" t="n">
        <f aca="false">H444/H443</f>
        <v>0.337179109485224</v>
      </c>
    </row>
    <row r="447" customFormat="false" ht="15" hidden="false" customHeight="true" outlineLevel="0" collapsed="false">
      <c r="A447" s="22" t="s">
        <v>479</v>
      </c>
      <c r="B447" s="55" t="s">
        <v>480</v>
      </c>
      <c r="C447" s="23"/>
      <c r="D447" s="23"/>
      <c r="E447" s="23"/>
      <c r="F447" s="23"/>
      <c r="G447" s="23"/>
      <c r="H447" s="23"/>
    </row>
    <row r="448" customFormat="false" ht="129.75" hidden="false" customHeight="true" outlineLevel="0" collapsed="false">
      <c r="A448" s="26" t="s">
        <v>361</v>
      </c>
      <c r="B448" s="56" t="s">
        <v>481</v>
      </c>
      <c r="C448" s="56"/>
      <c r="D448" s="56"/>
      <c r="E448" s="56"/>
      <c r="F448" s="56"/>
      <c r="G448" s="56"/>
      <c r="H448" s="56"/>
    </row>
    <row r="449" customFormat="false" ht="23.25" hidden="false" customHeight="true" outlineLevel="0" collapsed="false">
      <c r="A449" s="24" t="s">
        <v>363</v>
      </c>
      <c r="B449" s="25" t="s">
        <v>364</v>
      </c>
      <c r="C449" s="25" t="s">
        <v>365</v>
      </c>
      <c r="D449" s="25" t="s">
        <v>366</v>
      </c>
      <c r="E449" s="25" t="s">
        <v>367</v>
      </c>
      <c r="F449" s="25" t="s">
        <v>368</v>
      </c>
      <c r="G449" s="25" t="s">
        <v>369</v>
      </c>
      <c r="H449" s="25" t="s">
        <v>370</v>
      </c>
    </row>
    <row r="450" customFormat="false" ht="15" hidden="false" customHeight="true" outlineLevel="0" collapsed="false">
      <c r="A450" s="26" t="s">
        <v>424</v>
      </c>
      <c r="B450" s="57" t="n">
        <v>1</v>
      </c>
      <c r="C450" s="57" t="n">
        <f aca="false">B450*1.3</f>
        <v>1.3</v>
      </c>
      <c r="D450" s="58" t="n">
        <f aca="false">'Product Costs'!H35</f>
        <v>9.63669244562752</v>
      </c>
      <c r="E450" s="59" t="n">
        <f aca="false">B450*D450</f>
        <v>9.63669244562752</v>
      </c>
      <c r="F450" s="59" t="n">
        <f aca="false">C450*D450</f>
        <v>12.5277001793158</v>
      </c>
      <c r="G450" s="60" t="n">
        <f aca="false">E450*Assumptions!$B$5</f>
        <v>1300.95348015972</v>
      </c>
      <c r="H450" s="60" t="n">
        <f aca="false">F450*Assumptions!$B$5</f>
        <v>1691.23952420763</v>
      </c>
    </row>
    <row r="451" customFormat="false" ht="15" hidden="false" customHeight="true" outlineLevel="0" collapsed="false">
      <c r="A451" s="26" t="s">
        <v>425</v>
      </c>
      <c r="B451" s="57" t="n">
        <v>1</v>
      </c>
      <c r="C451" s="57" t="n">
        <f aca="false">B451*1.3</f>
        <v>1.3</v>
      </c>
      <c r="D451" s="58" t="n">
        <f aca="false">'Product Costs'!H70</f>
        <v>1.5418707913004</v>
      </c>
      <c r="E451" s="59" t="n">
        <f aca="false">B451*D451</f>
        <v>1.5418707913004</v>
      </c>
      <c r="F451" s="59" t="n">
        <f aca="false">C451*D451</f>
        <v>2.00443202869053</v>
      </c>
      <c r="G451" s="60" t="n">
        <f aca="false">E451*Assumptions!$B$5</f>
        <v>208.152556825555</v>
      </c>
      <c r="H451" s="60" t="n">
        <f aca="false">F451*Assumptions!$B$5</f>
        <v>270.598323873221</v>
      </c>
    </row>
    <row r="452" customFormat="false" ht="15" hidden="false" customHeight="true" outlineLevel="0" collapsed="false">
      <c r="A452" s="26" t="s">
        <v>408</v>
      </c>
      <c r="B452" s="57" t="n">
        <v>1</v>
      </c>
      <c r="C452" s="57" t="n">
        <f aca="false">B452*1.3</f>
        <v>1.3</v>
      </c>
      <c r="D452" s="58" t="n">
        <f aca="false">'Product Costs'!H60</f>
        <v>0.0160611540760459</v>
      </c>
      <c r="E452" s="59" t="n">
        <f aca="false">B452*D452</f>
        <v>0.0160611540760459</v>
      </c>
      <c r="F452" s="59" t="n">
        <f aca="false">C452*D452</f>
        <v>0.0208795002988596</v>
      </c>
      <c r="G452" s="60" t="n">
        <f aca="false">E452*Assumptions!$B$5</f>
        <v>2.16825580026619</v>
      </c>
      <c r="H452" s="60" t="n">
        <f aca="false">F452*Assumptions!$B$5</f>
        <v>2.81873254034605</v>
      </c>
    </row>
    <row r="453" customFormat="false" ht="15" hidden="false" customHeight="true" outlineLevel="0" collapsed="false">
      <c r="A453" s="61" t="s">
        <v>386</v>
      </c>
      <c r="B453" s="62"/>
      <c r="C453" s="62"/>
      <c r="D453" s="62"/>
      <c r="E453" s="63" t="n">
        <f aca="false">SUM(E450:E452)</f>
        <v>11.194624391004</v>
      </c>
      <c r="F453" s="63" t="n">
        <f aca="false">SUM(F450:F452)</f>
        <v>14.5530117083052</v>
      </c>
      <c r="G453" s="64" t="n">
        <f aca="false">E453*Assumptions!$B$5</f>
        <v>1511.27429278554</v>
      </c>
      <c r="H453" s="64" t="n">
        <f aca="false">F453*Assumptions!$B$5</f>
        <v>1964.6565806212</v>
      </c>
    </row>
    <row r="454" customFormat="false" ht="15" hidden="false" customHeight="true" outlineLevel="0" collapsed="false">
      <c r="A454" s="26" t="s">
        <v>387</v>
      </c>
      <c r="E454" s="65" t="n">
        <f aca="false">E453*Assumptions!$B$9</f>
        <v>1.6791936586506</v>
      </c>
      <c r="F454" s="65" t="n">
        <f aca="false">F453*Assumptions!$B$9</f>
        <v>2.18295175624577</v>
      </c>
      <c r="G454" s="28" t="n">
        <f aca="false">E454*Assumptions!$B$5</f>
        <v>226.691143917831</v>
      </c>
      <c r="H454" s="28" t="n">
        <f aca="false">F454*Assumptions!$B$5</f>
        <v>294.69848709318</v>
      </c>
    </row>
    <row r="455" customFormat="false" ht="15" hidden="false" customHeight="true" outlineLevel="0" collapsed="false">
      <c r="A455" s="61" t="s">
        <v>388</v>
      </c>
      <c r="B455" s="62"/>
      <c r="C455" s="62"/>
      <c r="D455" s="62"/>
      <c r="E455" s="63" t="n">
        <f aca="false">E453+E454</f>
        <v>12.8738180496546</v>
      </c>
      <c r="F455" s="63" t="n">
        <f aca="false">F453+F454</f>
        <v>16.7359634645509</v>
      </c>
      <c r="G455" s="64" t="n">
        <f aca="false">E455*Assumptions!$B$5</f>
        <v>1737.96543670337</v>
      </c>
      <c r="H455" s="64" t="n">
        <f aca="false">F455*Assumptions!$B$5</f>
        <v>2259.35506771438</v>
      </c>
    </row>
    <row r="456" customFormat="false" ht="15" hidden="false" customHeight="true" outlineLevel="0" collapsed="false">
      <c r="A456" s="66" t="s">
        <v>389</v>
      </c>
      <c r="B456" s="67"/>
      <c r="C456" s="67"/>
      <c r="D456" s="67"/>
      <c r="E456" s="68" t="n">
        <f aca="false">G456/Assumptions!$B$5</f>
        <v>25.9259259259259</v>
      </c>
      <c r="F456" s="68" t="n">
        <f aca="false">H456/Assumptions!$B$5</f>
        <v>33.3333333333333</v>
      </c>
      <c r="G456" s="69" t="n">
        <v>3500</v>
      </c>
      <c r="H456" s="69" t="n">
        <v>4500</v>
      </c>
    </row>
    <row r="457" customFormat="false" ht="15" hidden="false" customHeight="true" outlineLevel="0" collapsed="false">
      <c r="A457" s="61" t="s">
        <v>390</v>
      </c>
      <c r="B457" s="62"/>
      <c r="C457" s="62"/>
      <c r="D457" s="62"/>
      <c r="E457" s="63" t="n">
        <f aca="false">E456-E455</f>
        <v>13.0521078762714</v>
      </c>
      <c r="F457" s="63" t="n">
        <f aca="false">F456-F455</f>
        <v>16.5973698687824</v>
      </c>
      <c r="G457" s="64" t="n">
        <f aca="false">G456-G455</f>
        <v>1762.03456329663</v>
      </c>
      <c r="H457" s="64" t="n">
        <f aca="false">H456-H455</f>
        <v>2240.64493228562</v>
      </c>
    </row>
    <row r="458" customFormat="false" ht="15" hidden="false" customHeight="true" outlineLevel="0" collapsed="false">
      <c r="A458" s="61" t="s">
        <v>391</v>
      </c>
      <c r="B458" s="62"/>
      <c r="C458" s="62"/>
      <c r="D458" s="62"/>
      <c r="E458" s="62"/>
      <c r="F458" s="62"/>
      <c r="G458" s="70" t="n">
        <f aca="false">G457/G456</f>
        <v>0.503438446656181</v>
      </c>
      <c r="H458" s="70" t="n">
        <f aca="false">H457/H456</f>
        <v>0.497921096063472</v>
      </c>
    </row>
    <row r="460" customFormat="false" ht="15" hidden="false" customHeight="true" outlineLevel="0" collapsed="false">
      <c r="A460" s="22" t="s">
        <v>482</v>
      </c>
      <c r="B460" s="55" t="s">
        <v>483</v>
      </c>
      <c r="C460" s="23"/>
      <c r="D460" s="23"/>
      <c r="E460" s="23"/>
      <c r="F460" s="23"/>
      <c r="G460" s="23"/>
      <c r="H460" s="23"/>
    </row>
    <row r="461" customFormat="false" ht="15" hidden="false" customHeight="true" outlineLevel="0" collapsed="false">
      <c r="A461" s="73" t="s">
        <v>484</v>
      </c>
      <c r="B461" s="74"/>
      <c r="C461" s="74"/>
      <c r="D461" s="74"/>
      <c r="E461" s="74"/>
      <c r="F461" s="74"/>
      <c r="G461" s="74"/>
      <c r="H461" s="74"/>
    </row>
    <row r="462" customFormat="false" ht="51.75" hidden="false" customHeight="true" outlineLevel="0" collapsed="false">
      <c r="A462" s="26" t="s">
        <v>361</v>
      </c>
      <c r="B462" s="56" t="s">
        <v>485</v>
      </c>
      <c r="C462" s="56"/>
      <c r="D462" s="56"/>
      <c r="E462" s="56"/>
      <c r="F462" s="56"/>
      <c r="G462" s="56"/>
      <c r="H462" s="56"/>
    </row>
    <row r="463" customFormat="false" ht="23.25" hidden="false" customHeight="true" outlineLevel="0" collapsed="false">
      <c r="A463" s="24" t="s">
        <v>363</v>
      </c>
      <c r="B463" s="25" t="s">
        <v>364</v>
      </c>
      <c r="C463" s="25" t="s">
        <v>365</v>
      </c>
      <c r="D463" s="25" t="s">
        <v>366</v>
      </c>
      <c r="E463" s="25" t="s">
        <v>367</v>
      </c>
      <c r="F463" s="25" t="s">
        <v>368</v>
      </c>
      <c r="G463" s="25" t="s">
        <v>369</v>
      </c>
      <c r="H463" s="25" t="s">
        <v>370</v>
      </c>
    </row>
    <row r="464" customFormat="false" ht="15" hidden="false" customHeight="true" outlineLevel="0" collapsed="false">
      <c r="A464" s="26" t="s">
        <v>371</v>
      </c>
      <c r="B464" s="57" t="n">
        <v>1</v>
      </c>
      <c r="C464" s="57" t="n">
        <f aca="false">B464*1.3</f>
        <v>1.3</v>
      </c>
      <c r="D464" s="58" t="n">
        <f aca="false">'Product Costs'!H5</f>
        <v>0.082682903866388</v>
      </c>
      <c r="E464" s="59" t="n">
        <f aca="false">B464*D464</f>
        <v>0.082682903866388</v>
      </c>
      <c r="F464" s="59" t="n">
        <f aca="false">C464*D464</f>
        <v>0.107487775026304</v>
      </c>
      <c r="G464" s="60" t="n">
        <f aca="false">E464*Assumptions!$B$5</f>
        <v>11.1621920219624</v>
      </c>
      <c r="H464" s="60" t="n">
        <f aca="false">F464*Assumptions!$B$5</f>
        <v>14.5108496285511</v>
      </c>
    </row>
    <row r="465" customFormat="false" ht="15" hidden="false" customHeight="true" outlineLevel="0" collapsed="false">
      <c r="A465" s="26" t="s">
        <v>372</v>
      </c>
      <c r="B465" s="57" t="n">
        <v>1</v>
      </c>
      <c r="C465" s="57" t="n">
        <f aca="false">B465*1.3</f>
        <v>1.3</v>
      </c>
      <c r="D465" s="58" t="n">
        <f aca="false">'Product Costs'!H9</f>
        <v>0.619501657218912</v>
      </c>
      <c r="E465" s="59" t="n">
        <f aca="false">B465*D465</f>
        <v>0.619501657218912</v>
      </c>
      <c r="F465" s="59" t="n">
        <f aca="false">C465*D465</f>
        <v>0.805352154384586</v>
      </c>
      <c r="G465" s="60" t="n">
        <f aca="false">E465*Assumptions!$B$5</f>
        <v>83.6327237245532</v>
      </c>
      <c r="H465" s="60" t="n">
        <f aca="false">F465*Assumptions!$B$5</f>
        <v>108.722540841919</v>
      </c>
    </row>
    <row r="466" customFormat="false" ht="15" hidden="false" customHeight="true" outlineLevel="0" collapsed="false">
      <c r="A466" s="26" t="s">
        <v>373</v>
      </c>
      <c r="B466" s="57" t="n">
        <v>1</v>
      </c>
      <c r="C466" s="57" t="n">
        <f aca="false">B466*1.3</f>
        <v>1.3</v>
      </c>
      <c r="D466" s="58" t="n">
        <f aca="false">'Product Costs'!H10</f>
        <v>0.917780232916907</v>
      </c>
      <c r="E466" s="59" t="n">
        <f aca="false">B466*D466</f>
        <v>0.917780232916907</v>
      </c>
      <c r="F466" s="59" t="n">
        <f aca="false">C466*D466</f>
        <v>1.19311430279198</v>
      </c>
      <c r="G466" s="60" t="n">
        <f aca="false">E466*Assumptions!$B$5</f>
        <v>123.900331443782</v>
      </c>
      <c r="H466" s="60" t="n">
        <f aca="false">F466*Assumptions!$B$5</f>
        <v>161.070430876917</v>
      </c>
    </row>
    <row r="467" customFormat="false" ht="15" hidden="false" customHeight="true" outlineLevel="0" collapsed="false">
      <c r="A467" s="26" t="s">
        <v>374</v>
      </c>
      <c r="B467" s="57" t="n">
        <v>1</v>
      </c>
      <c r="C467" s="57" t="n">
        <f aca="false">B467*1.3</f>
        <v>1.3</v>
      </c>
      <c r="D467" s="58" t="n">
        <f aca="false">'Product Costs'!H20</f>
        <v>0.206500552406304</v>
      </c>
      <c r="E467" s="59" t="n">
        <f aca="false">B467*D467</f>
        <v>0.206500552406304</v>
      </c>
      <c r="F467" s="59" t="n">
        <f aca="false">C467*D467</f>
        <v>0.268450718128195</v>
      </c>
      <c r="G467" s="60" t="n">
        <f aca="false">E467*Assumptions!$B$5</f>
        <v>27.8775745748511</v>
      </c>
      <c r="H467" s="60" t="n">
        <f aca="false">F467*Assumptions!$B$5</f>
        <v>36.2408469473064</v>
      </c>
    </row>
    <row r="468" customFormat="false" ht="15" hidden="false" customHeight="true" outlineLevel="0" collapsed="false">
      <c r="A468" s="26" t="s">
        <v>375</v>
      </c>
      <c r="B468" s="57" t="n">
        <v>1</v>
      </c>
      <c r="C468" s="57" t="n">
        <f aca="false">B468*1.3</f>
        <v>1.3</v>
      </c>
      <c r="D468" s="58" t="n">
        <f aca="false">'Product Costs'!H19</f>
        <v>0.289100773368826</v>
      </c>
      <c r="E468" s="59" t="n">
        <f aca="false">B468*D468</f>
        <v>0.289100773368826</v>
      </c>
      <c r="F468" s="59" t="n">
        <f aca="false">C468*D468</f>
        <v>0.375831005379474</v>
      </c>
      <c r="G468" s="60" t="n">
        <f aca="false">E468*Assumptions!$B$5</f>
        <v>39.0286044047915</v>
      </c>
      <c r="H468" s="60" t="n">
        <f aca="false">F468*Assumptions!$B$5</f>
        <v>50.7371857262289</v>
      </c>
    </row>
    <row r="469" customFormat="false" ht="15" hidden="false" customHeight="true" outlineLevel="0" collapsed="false">
      <c r="A469" s="26" t="s">
        <v>376</v>
      </c>
      <c r="B469" s="57" t="n">
        <v>1</v>
      </c>
      <c r="C469" s="57" t="n">
        <f aca="false">B469*1.3</f>
        <v>1.3</v>
      </c>
      <c r="D469" s="58" t="n">
        <f aca="false">'Product Costs'!H18</f>
        <v>0.68833517468768</v>
      </c>
      <c r="E469" s="59" t="n">
        <f aca="false">B469*D469</f>
        <v>0.68833517468768</v>
      </c>
      <c r="F469" s="59" t="n">
        <f aca="false">C469*D469</f>
        <v>0.894835727093985</v>
      </c>
      <c r="G469" s="60" t="n">
        <f aca="false">E469*Assumptions!$B$5</f>
        <v>92.9252485828368</v>
      </c>
      <c r="H469" s="60" t="n">
        <f aca="false">F469*Assumptions!$B$5</f>
        <v>120.802823157688</v>
      </c>
    </row>
    <row r="470" customFormat="false" ht="15" hidden="false" customHeight="true" outlineLevel="0" collapsed="false">
      <c r="A470" s="26" t="s">
        <v>377</v>
      </c>
      <c r="B470" s="57" t="n">
        <v>1</v>
      </c>
      <c r="C470" s="57" t="n">
        <f aca="false">B470*1.3</f>
        <v>1.3</v>
      </c>
      <c r="D470" s="58" t="n">
        <f aca="false">'Product Costs'!H36</f>
        <v>0.385467697825101</v>
      </c>
      <c r="E470" s="59" t="n">
        <f aca="false">B470*D470</f>
        <v>0.385467697825101</v>
      </c>
      <c r="F470" s="59" t="n">
        <f aca="false">C470*D470</f>
        <v>0.501108007172631</v>
      </c>
      <c r="G470" s="60" t="n">
        <f aca="false">E470*Assumptions!$B$5</f>
        <v>52.0381392063886</v>
      </c>
      <c r="H470" s="60" t="n">
        <f aca="false">F470*Assumptions!$B$5</f>
        <v>67.6495809683052</v>
      </c>
    </row>
    <row r="471" customFormat="false" ht="15" hidden="false" customHeight="true" outlineLevel="0" collapsed="false">
      <c r="A471" s="26" t="s">
        <v>378</v>
      </c>
      <c r="B471" s="57" t="n">
        <v>1</v>
      </c>
      <c r="C471" s="57" t="n">
        <f aca="false">B471*1.3</f>
        <v>1.3</v>
      </c>
      <c r="D471" s="58" t="n">
        <f aca="false">'Product Costs'!H24</f>
        <v>0.715868581675188</v>
      </c>
      <c r="E471" s="59" t="n">
        <f aca="false">B471*D471</f>
        <v>0.715868581675188</v>
      </c>
      <c r="F471" s="59" t="n">
        <f aca="false">C471*D471</f>
        <v>0.930629156177744</v>
      </c>
      <c r="G471" s="60" t="n">
        <f aca="false">E471*Assumptions!$B$5</f>
        <v>96.6422585261503</v>
      </c>
      <c r="H471" s="60" t="n">
        <f aca="false">F471*Assumptions!$B$5</f>
        <v>125.634936083995</v>
      </c>
    </row>
    <row r="472" customFormat="false" ht="15" hidden="false" customHeight="true" outlineLevel="0" collapsed="false">
      <c r="A472" s="26" t="s">
        <v>379</v>
      </c>
      <c r="B472" s="57" t="n">
        <v>0.5</v>
      </c>
      <c r="C472" s="57" t="n">
        <f aca="false">B472*1.3</f>
        <v>0.65</v>
      </c>
      <c r="D472" s="58" t="n">
        <f aca="false">'Product Costs'!H22</f>
        <v>0.313499188471617</v>
      </c>
      <c r="E472" s="59" t="n">
        <f aca="false">B472*D472</f>
        <v>0.156749594235808</v>
      </c>
      <c r="F472" s="59" t="n">
        <f aca="false">C472*D472</f>
        <v>0.203774472506551</v>
      </c>
      <c r="G472" s="60" t="n">
        <f aca="false">E472*Assumptions!$B$5</f>
        <v>21.1611952218341</v>
      </c>
      <c r="H472" s="60" t="n">
        <f aca="false">F472*Assumptions!$B$5</f>
        <v>27.5095537883844</v>
      </c>
    </row>
    <row r="473" customFormat="false" ht="15" hidden="false" customHeight="true" outlineLevel="0" collapsed="false">
      <c r="A473" s="26" t="s">
        <v>380</v>
      </c>
      <c r="B473" s="57" t="n">
        <v>0.6</v>
      </c>
      <c r="C473" s="57" t="n">
        <f aca="false">B473*1.3</f>
        <v>0.78</v>
      </c>
      <c r="D473" s="58" t="n">
        <f aca="false">'Product Costs'!H49</f>
        <v>0.0275334069875072</v>
      </c>
      <c r="E473" s="59" t="n">
        <f aca="false">B473*D473</f>
        <v>0.0165200441925043</v>
      </c>
      <c r="F473" s="59" t="n">
        <f aca="false">C473*D473</f>
        <v>0.0214760574502556</v>
      </c>
      <c r="G473" s="60" t="n">
        <f aca="false">E473*Assumptions!$B$5</f>
        <v>2.23020596598808</v>
      </c>
      <c r="H473" s="60" t="n">
        <f aca="false">F473*Assumptions!$B$5</f>
        <v>2.89926775578451</v>
      </c>
    </row>
    <row r="474" customFormat="false" ht="15" hidden="false" customHeight="true" outlineLevel="0" collapsed="false">
      <c r="A474" s="26" t="s">
        <v>381</v>
      </c>
      <c r="B474" s="57" t="n">
        <v>0.2</v>
      </c>
      <c r="C474" s="57" t="n">
        <f aca="false">B474*1.3</f>
        <v>0.26</v>
      </c>
      <c r="D474" s="58" t="n">
        <f aca="false">'Product Costs'!H50</f>
        <v>0.019273384891255</v>
      </c>
      <c r="E474" s="59" t="n">
        <f aca="false">B474*D474</f>
        <v>0.00385467697825101</v>
      </c>
      <c r="F474" s="59" t="n">
        <f aca="false">C474*D474</f>
        <v>0.00501108007172631</v>
      </c>
      <c r="G474" s="60" t="n">
        <f aca="false">E474*Assumptions!$B$5</f>
        <v>0.520381392063886</v>
      </c>
      <c r="H474" s="60" t="n">
        <f aca="false">F474*Assumptions!$B$5</f>
        <v>0.676495809683052</v>
      </c>
    </row>
    <row r="475" customFormat="false" ht="15" hidden="false" customHeight="true" outlineLevel="0" collapsed="false">
      <c r="A475" s="26" t="s">
        <v>382</v>
      </c>
      <c r="B475" s="57" t="n">
        <v>0.2</v>
      </c>
      <c r="C475" s="57" t="n">
        <f aca="false">B475*1.3</f>
        <v>0.26</v>
      </c>
      <c r="D475" s="58" t="n">
        <f aca="false">'Product Costs'!H47</f>
        <v>0.0413001104812608</v>
      </c>
      <c r="E475" s="59" t="n">
        <f aca="false">B475*D475</f>
        <v>0.00826002209625217</v>
      </c>
      <c r="F475" s="59" t="n">
        <f aca="false">C475*D475</f>
        <v>0.0107380287251278</v>
      </c>
      <c r="G475" s="60" t="n">
        <f aca="false">E475*Assumptions!$B$5</f>
        <v>1.11510298299404</v>
      </c>
      <c r="H475" s="60" t="n">
        <f aca="false">F475*Assumptions!$B$5</f>
        <v>1.44963387789225</v>
      </c>
    </row>
    <row r="476" customFormat="false" ht="15" hidden="false" customHeight="true" outlineLevel="0" collapsed="false">
      <c r="A476" s="26" t="s">
        <v>383</v>
      </c>
      <c r="B476" s="57" t="n">
        <v>0.2</v>
      </c>
      <c r="C476" s="57" t="n">
        <f aca="false">B476*1.3</f>
        <v>0.26</v>
      </c>
      <c r="D476" s="58" t="n">
        <f aca="false">'Product Costs'!H48</f>
        <v>0.068833517468768</v>
      </c>
      <c r="E476" s="59" t="n">
        <f aca="false">B476*D476</f>
        <v>0.0137667034937536</v>
      </c>
      <c r="F476" s="59" t="n">
        <f aca="false">C476*D476</f>
        <v>0.0178967145418797</v>
      </c>
      <c r="G476" s="60" t="n">
        <f aca="false">E476*Assumptions!$B$5</f>
        <v>1.85850497165674</v>
      </c>
      <c r="H476" s="60" t="n">
        <f aca="false">F476*Assumptions!$B$5</f>
        <v>2.41605646315376</v>
      </c>
    </row>
    <row r="477" customFormat="false" ht="15" hidden="false" customHeight="true" outlineLevel="0" collapsed="false">
      <c r="A477" s="26" t="s">
        <v>384</v>
      </c>
      <c r="B477" s="57" t="n">
        <v>0.3</v>
      </c>
      <c r="C477" s="57" t="n">
        <f aca="false">B477*1.3</f>
        <v>0.39</v>
      </c>
      <c r="D477" s="58" t="n">
        <f aca="false">'Product Costs'!H66</f>
        <v>0.0183556046583381</v>
      </c>
      <c r="E477" s="59" t="n">
        <f aca="false">B477*D477</f>
        <v>0.00550668139750144</v>
      </c>
      <c r="F477" s="59" t="n">
        <f aca="false">C477*D477</f>
        <v>0.00715868581675188</v>
      </c>
      <c r="G477" s="60" t="n">
        <f aca="false">E477*Assumptions!$B$5</f>
        <v>0.743401988662695</v>
      </c>
      <c r="H477" s="60" t="n">
        <f aca="false">F477*Assumptions!$B$5</f>
        <v>0.966422585261503</v>
      </c>
    </row>
    <row r="478" customFormat="false" ht="15" hidden="false" customHeight="true" outlineLevel="0" collapsed="false">
      <c r="A478" s="26" t="s">
        <v>401</v>
      </c>
      <c r="B478" s="57" t="n">
        <v>0.3</v>
      </c>
      <c r="C478" s="57" t="n">
        <f aca="false">B478*1.3</f>
        <v>0.39</v>
      </c>
      <c r="D478" s="58" t="n">
        <f aca="false">'Product Costs'!H11</f>
        <v>0.159693760527542</v>
      </c>
      <c r="E478" s="59" t="n">
        <f aca="false">B478*D478</f>
        <v>0.0479081281582626</v>
      </c>
      <c r="F478" s="59" t="n">
        <f aca="false">C478*D478</f>
        <v>0.0622805666057413</v>
      </c>
      <c r="G478" s="60" t="n">
        <f aca="false">E478*Assumptions!$B$5</f>
        <v>6.46759730136544</v>
      </c>
      <c r="H478" s="60" t="n">
        <f aca="false">F478*Assumptions!$B$5</f>
        <v>8.40787649177508</v>
      </c>
    </row>
    <row r="479" customFormat="false" ht="15" hidden="false" customHeight="true" outlineLevel="0" collapsed="false">
      <c r="A479" s="26" t="s">
        <v>409</v>
      </c>
      <c r="B479" s="57" t="n">
        <v>0.3</v>
      </c>
      <c r="C479" s="57" t="n">
        <f aca="false">B479*1.3</f>
        <v>0.39</v>
      </c>
      <c r="D479" s="58" t="n">
        <f aca="false">'Product Costs'!H67</f>
        <v>0.0321223081520917</v>
      </c>
      <c r="E479" s="59" t="n">
        <f aca="false">B479*D479</f>
        <v>0.00963669244562752</v>
      </c>
      <c r="F479" s="59" t="n">
        <f aca="false">C479*D479</f>
        <v>0.0125277001793158</v>
      </c>
      <c r="G479" s="60" t="n">
        <f aca="false">E479*Assumptions!$B$5</f>
        <v>1.30095348015972</v>
      </c>
      <c r="H479" s="60" t="n">
        <f aca="false">F479*Assumptions!$B$5</f>
        <v>1.69123952420763</v>
      </c>
    </row>
    <row r="480" customFormat="false" ht="15" hidden="false" customHeight="true" outlineLevel="0" collapsed="false">
      <c r="A480" s="26" t="s">
        <v>486</v>
      </c>
      <c r="B480" s="57" t="n">
        <v>1</v>
      </c>
      <c r="C480" s="57" t="n">
        <f aca="false">B480*1.3</f>
        <v>1.3</v>
      </c>
      <c r="D480" s="58" t="n">
        <f aca="false">'Product Costs'!H26</f>
        <v>0.786668771071635</v>
      </c>
      <c r="E480" s="59" t="n">
        <f aca="false">B480*D480</f>
        <v>0.786668771071635</v>
      </c>
      <c r="F480" s="59" t="n">
        <f aca="false">C480*D480</f>
        <v>1.02266940239313</v>
      </c>
      <c r="G480" s="60" t="n">
        <f aca="false">E480*Assumptions!$B$5</f>
        <v>106.200284094671</v>
      </c>
      <c r="H480" s="60" t="n">
        <f aca="false">F480*Assumptions!$B$5</f>
        <v>138.060369323072</v>
      </c>
    </row>
    <row r="481" customFormat="false" ht="15" hidden="false" customHeight="true" outlineLevel="0" collapsed="false">
      <c r="A481" s="26" t="s">
        <v>411</v>
      </c>
      <c r="B481" s="57" t="n">
        <v>0.2</v>
      </c>
      <c r="C481" s="57" t="n">
        <f aca="false">B481*1.3</f>
        <v>0.26</v>
      </c>
      <c r="D481" s="58" t="n">
        <f aca="false">'Product Costs'!H42</f>
        <v>0.124024355799582</v>
      </c>
      <c r="E481" s="59" t="n">
        <f aca="false">B481*D481</f>
        <v>0.0248048711599164</v>
      </c>
      <c r="F481" s="59" t="n">
        <f aca="false">C481*D481</f>
        <v>0.0322463325078913</v>
      </c>
      <c r="G481" s="60" t="n">
        <f aca="false">E481*Assumptions!$B$5</f>
        <v>3.34865760658872</v>
      </c>
      <c r="H481" s="60" t="n">
        <f aca="false">F481*Assumptions!$B$5</f>
        <v>4.35325488856533</v>
      </c>
    </row>
    <row r="482" customFormat="false" ht="15" hidden="false" customHeight="true" outlineLevel="0" collapsed="false">
      <c r="A482" s="61" t="s">
        <v>386</v>
      </c>
      <c r="B482" s="62"/>
      <c r="C482" s="62"/>
      <c r="D482" s="62"/>
      <c r="E482" s="63" t="n">
        <f aca="false">SUM(E464:E481)</f>
        <v>4.97891375919482</v>
      </c>
      <c r="F482" s="63" t="n">
        <f aca="false">SUM(F464:F481)</f>
        <v>6.47258788695326</v>
      </c>
      <c r="G482" s="64" t="n">
        <f aca="false">E482*Assumptions!$B$5</f>
        <v>672.153357491301</v>
      </c>
      <c r="H482" s="64" t="n">
        <f aca="false">F482*Assumptions!$B$5</f>
        <v>873.799364738691</v>
      </c>
    </row>
    <row r="483" customFormat="false" ht="15" hidden="false" customHeight="true" outlineLevel="0" collapsed="false">
      <c r="A483" s="26" t="s">
        <v>487</v>
      </c>
      <c r="E483" s="65" t="n">
        <f aca="false">E482*Assumptions!$B$9</f>
        <v>0.746837063879223</v>
      </c>
      <c r="F483" s="65" t="n">
        <f aca="false">F482*Assumptions!$B$9</f>
        <v>0.97088818304299</v>
      </c>
      <c r="G483" s="28" t="n">
        <f aca="false">E483*Assumptions!$B$5</f>
        <v>100.823003623695</v>
      </c>
      <c r="H483" s="28" t="n">
        <f aca="false">F483*Assumptions!$B$5</f>
        <v>131.069904710804</v>
      </c>
    </row>
    <row r="484" customFormat="false" ht="15" hidden="false" customHeight="true" outlineLevel="0" collapsed="false">
      <c r="A484" s="61" t="s">
        <v>388</v>
      </c>
      <c r="B484" s="62"/>
      <c r="C484" s="62"/>
      <c r="D484" s="62"/>
      <c r="E484" s="63" t="n">
        <f aca="false">E482+E483</f>
        <v>5.72575082307404</v>
      </c>
      <c r="F484" s="63" t="n">
        <f aca="false">F482+F483</f>
        <v>7.44347606999625</v>
      </c>
      <c r="G484" s="64" t="n">
        <f aca="false">E484*Assumptions!$B$5</f>
        <v>772.976361114996</v>
      </c>
      <c r="H484" s="64" t="n">
        <f aca="false">F484*Assumptions!$B$5</f>
        <v>1004.86926944949</v>
      </c>
    </row>
    <row r="485" customFormat="false" ht="15" hidden="false" customHeight="true" outlineLevel="0" collapsed="false">
      <c r="A485" s="73" t="s">
        <v>488</v>
      </c>
      <c r="B485" s="74"/>
      <c r="C485" s="74"/>
      <c r="D485" s="74"/>
      <c r="E485" s="74"/>
      <c r="F485" s="74"/>
      <c r="G485" s="74"/>
      <c r="H485" s="74"/>
    </row>
    <row r="486" customFormat="false" ht="90.75" hidden="false" customHeight="true" outlineLevel="0" collapsed="false">
      <c r="A486" s="26" t="s">
        <v>361</v>
      </c>
      <c r="B486" s="56" t="s">
        <v>489</v>
      </c>
      <c r="C486" s="56"/>
      <c r="D486" s="56"/>
      <c r="E486" s="56"/>
      <c r="F486" s="56"/>
      <c r="G486" s="56"/>
      <c r="H486" s="56"/>
    </row>
    <row r="487" customFormat="false" ht="23.25" hidden="false" customHeight="true" outlineLevel="0" collapsed="false">
      <c r="A487" s="24" t="s">
        <v>363</v>
      </c>
      <c r="B487" s="25" t="s">
        <v>364</v>
      </c>
      <c r="C487" s="25" t="s">
        <v>365</v>
      </c>
      <c r="D487" s="25" t="s">
        <v>366</v>
      </c>
      <c r="E487" s="25" t="s">
        <v>367</v>
      </c>
      <c r="F487" s="25" t="s">
        <v>368</v>
      </c>
      <c r="G487" s="25" t="s">
        <v>369</v>
      </c>
      <c r="H487" s="25" t="s">
        <v>370</v>
      </c>
    </row>
    <row r="488" customFormat="false" ht="15" hidden="false" customHeight="true" outlineLevel="0" collapsed="false">
      <c r="A488" s="26" t="s">
        <v>373</v>
      </c>
      <c r="B488" s="57" t="n">
        <v>1</v>
      </c>
      <c r="C488" s="57" t="n">
        <f aca="false">B488*1.3</f>
        <v>1.3</v>
      </c>
      <c r="D488" s="58" t="n">
        <f aca="false">'Product Costs'!H10</f>
        <v>0.917780232916907</v>
      </c>
      <c r="E488" s="59" t="n">
        <f aca="false">B488*D488</f>
        <v>0.917780232916907</v>
      </c>
      <c r="F488" s="59" t="n">
        <f aca="false">C488*D488</f>
        <v>1.19311430279198</v>
      </c>
      <c r="G488" s="60" t="n">
        <f aca="false">E488*Assumptions!$B$5</f>
        <v>123.900331443782</v>
      </c>
      <c r="H488" s="60" t="n">
        <f aca="false">F488*Assumptions!$B$5</f>
        <v>161.070430876917</v>
      </c>
    </row>
    <row r="489" customFormat="false" ht="15" hidden="false" customHeight="true" outlineLevel="0" collapsed="false">
      <c r="A489" s="26" t="s">
        <v>374</v>
      </c>
      <c r="B489" s="57" t="n">
        <v>1</v>
      </c>
      <c r="C489" s="57" t="n">
        <f aca="false">B489*1.3</f>
        <v>1.3</v>
      </c>
      <c r="D489" s="58" t="n">
        <f aca="false">'Product Costs'!H20</f>
        <v>0.206500552406304</v>
      </c>
      <c r="E489" s="59" t="n">
        <f aca="false">B489*D489</f>
        <v>0.206500552406304</v>
      </c>
      <c r="F489" s="59" t="n">
        <f aca="false">C489*D489</f>
        <v>0.268450718128195</v>
      </c>
      <c r="G489" s="60" t="n">
        <f aca="false">E489*Assumptions!$B$5</f>
        <v>27.8775745748511</v>
      </c>
      <c r="H489" s="60" t="n">
        <f aca="false">F489*Assumptions!$B$5</f>
        <v>36.2408469473064</v>
      </c>
    </row>
    <row r="490" customFormat="false" ht="15" hidden="false" customHeight="true" outlineLevel="0" collapsed="false">
      <c r="A490" s="26" t="s">
        <v>375</v>
      </c>
      <c r="B490" s="57" t="n">
        <v>1</v>
      </c>
      <c r="C490" s="57" t="n">
        <f aca="false">B490*1.3</f>
        <v>1.3</v>
      </c>
      <c r="D490" s="58" t="n">
        <f aca="false">'Product Costs'!H19</f>
        <v>0.289100773368826</v>
      </c>
      <c r="E490" s="59" t="n">
        <f aca="false">B490*D490</f>
        <v>0.289100773368826</v>
      </c>
      <c r="F490" s="59" t="n">
        <f aca="false">C490*D490</f>
        <v>0.375831005379474</v>
      </c>
      <c r="G490" s="60" t="n">
        <f aca="false">E490*Assumptions!$B$5</f>
        <v>39.0286044047915</v>
      </c>
      <c r="H490" s="60" t="n">
        <f aca="false">F490*Assumptions!$B$5</f>
        <v>50.7371857262289</v>
      </c>
    </row>
    <row r="491" customFormat="false" ht="15" hidden="false" customHeight="true" outlineLevel="0" collapsed="false">
      <c r="A491" s="26" t="s">
        <v>376</v>
      </c>
      <c r="B491" s="57" t="n">
        <v>1</v>
      </c>
      <c r="C491" s="57" t="n">
        <f aca="false">B491*1.3</f>
        <v>1.3</v>
      </c>
      <c r="D491" s="58" t="n">
        <f aca="false">'Product Costs'!H18</f>
        <v>0.68833517468768</v>
      </c>
      <c r="E491" s="59" t="n">
        <f aca="false">B491*D491</f>
        <v>0.68833517468768</v>
      </c>
      <c r="F491" s="59" t="n">
        <f aca="false">C491*D491</f>
        <v>0.894835727093985</v>
      </c>
      <c r="G491" s="60" t="n">
        <f aca="false">E491*Assumptions!$B$5</f>
        <v>92.9252485828368</v>
      </c>
      <c r="H491" s="60" t="n">
        <f aca="false">F491*Assumptions!$B$5</f>
        <v>120.802823157688</v>
      </c>
    </row>
    <row r="492" customFormat="false" ht="15" hidden="false" customHeight="true" outlineLevel="0" collapsed="false">
      <c r="A492" s="26" t="s">
        <v>377</v>
      </c>
      <c r="B492" s="57" t="n">
        <v>1</v>
      </c>
      <c r="C492" s="57" t="n">
        <f aca="false">B492*1.3</f>
        <v>1.3</v>
      </c>
      <c r="D492" s="58" t="n">
        <f aca="false">'Product Costs'!H36</f>
        <v>0.385467697825101</v>
      </c>
      <c r="E492" s="59" t="n">
        <f aca="false">B492*D492</f>
        <v>0.385467697825101</v>
      </c>
      <c r="F492" s="59" t="n">
        <f aca="false">C492*D492</f>
        <v>0.501108007172631</v>
      </c>
      <c r="G492" s="60" t="n">
        <f aca="false">E492*Assumptions!$B$5</f>
        <v>52.0381392063886</v>
      </c>
      <c r="H492" s="60" t="n">
        <f aca="false">F492*Assumptions!$B$5</f>
        <v>67.6495809683052</v>
      </c>
    </row>
    <row r="493" customFormat="false" ht="15" hidden="false" customHeight="true" outlineLevel="0" collapsed="false">
      <c r="A493" s="26" t="s">
        <v>378</v>
      </c>
      <c r="B493" s="57" t="n">
        <v>1</v>
      </c>
      <c r="C493" s="57" t="n">
        <f aca="false">B493*1.3</f>
        <v>1.3</v>
      </c>
      <c r="D493" s="58" t="n">
        <f aca="false">'Product Costs'!H24</f>
        <v>0.715868581675188</v>
      </c>
      <c r="E493" s="59" t="n">
        <f aca="false">B493*D493</f>
        <v>0.715868581675188</v>
      </c>
      <c r="F493" s="59" t="n">
        <f aca="false">C493*D493</f>
        <v>0.930629156177744</v>
      </c>
      <c r="G493" s="60" t="n">
        <f aca="false">E493*Assumptions!$B$5</f>
        <v>96.6422585261503</v>
      </c>
      <c r="H493" s="60" t="n">
        <f aca="false">F493*Assumptions!$B$5</f>
        <v>125.634936083995</v>
      </c>
    </row>
    <row r="494" customFormat="false" ht="15" hidden="false" customHeight="true" outlineLevel="0" collapsed="false">
      <c r="A494" s="26" t="s">
        <v>379</v>
      </c>
      <c r="B494" s="57" t="n">
        <v>0.5</v>
      </c>
      <c r="C494" s="57" t="n">
        <f aca="false">B494*1.3</f>
        <v>0.65</v>
      </c>
      <c r="D494" s="58" t="n">
        <f aca="false">'Product Costs'!H22</f>
        <v>0.313499188471617</v>
      </c>
      <c r="E494" s="59" t="n">
        <f aca="false">B494*D494</f>
        <v>0.156749594235808</v>
      </c>
      <c r="F494" s="59" t="n">
        <f aca="false">C494*D494</f>
        <v>0.203774472506551</v>
      </c>
      <c r="G494" s="60" t="n">
        <f aca="false">E494*Assumptions!$B$5</f>
        <v>21.1611952218341</v>
      </c>
      <c r="H494" s="60" t="n">
        <f aca="false">F494*Assumptions!$B$5</f>
        <v>27.5095537883844</v>
      </c>
    </row>
    <row r="495" customFormat="false" ht="15" hidden="false" customHeight="true" outlineLevel="0" collapsed="false">
      <c r="A495" s="26" t="s">
        <v>380</v>
      </c>
      <c r="B495" s="57" t="n">
        <v>0.6</v>
      </c>
      <c r="C495" s="57" t="n">
        <f aca="false">B495*1.3</f>
        <v>0.78</v>
      </c>
      <c r="D495" s="58" t="n">
        <f aca="false">'Product Costs'!H49</f>
        <v>0.0275334069875072</v>
      </c>
      <c r="E495" s="59" t="n">
        <f aca="false">B495*D495</f>
        <v>0.0165200441925043</v>
      </c>
      <c r="F495" s="59" t="n">
        <f aca="false">C495*D495</f>
        <v>0.0214760574502556</v>
      </c>
      <c r="G495" s="60" t="n">
        <f aca="false">E495*Assumptions!$B$5</f>
        <v>2.23020596598808</v>
      </c>
      <c r="H495" s="60" t="n">
        <f aca="false">F495*Assumptions!$B$5</f>
        <v>2.89926775578451</v>
      </c>
    </row>
    <row r="496" customFormat="false" ht="15" hidden="false" customHeight="true" outlineLevel="0" collapsed="false">
      <c r="A496" s="26" t="s">
        <v>381</v>
      </c>
      <c r="B496" s="57" t="n">
        <v>0.2</v>
      </c>
      <c r="C496" s="57" t="n">
        <f aca="false">B496*1.3</f>
        <v>0.26</v>
      </c>
      <c r="D496" s="58" t="n">
        <f aca="false">'Product Costs'!H50</f>
        <v>0.019273384891255</v>
      </c>
      <c r="E496" s="59" t="n">
        <f aca="false">B496*D496</f>
        <v>0.00385467697825101</v>
      </c>
      <c r="F496" s="59" t="n">
        <f aca="false">C496*D496</f>
        <v>0.00501108007172631</v>
      </c>
      <c r="G496" s="60" t="n">
        <f aca="false">E496*Assumptions!$B$5</f>
        <v>0.520381392063886</v>
      </c>
      <c r="H496" s="60" t="n">
        <f aca="false">F496*Assumptions!$B$5</f>
        <v>0.676495809683052</v>
      </c>
    </row>
    <row r="497" customFormat="false" ht="15" hidden="false" customHeight="true" outlineLevel="0" collapsed="false">
      <c r="A497" s="26" t="s">
        <v>382</v>
      </c>
      <c r="B497" s="57" t="n">
        <v>0.3</v>
      </c>
      <c r="C497" s="57" t="n">
        <f aca="false">B497*1.3</f>
        <v>0.39</v>
      </c>
      <c r="D497" s="58" t="n">
        <f aca="false">'Product Costs'!H47</f>
        <v>0.0413001104812608</v>
      </c>
      <c r="E497" s="59" t="n">
        <f aca="false">B497*D497</f>
        <v>0.0123900331443782</v>
      </c>
      <c r="F497" s="59" t="n">
        <f aca="false">C497*D497</f>
        <v>0.0161070430876917</v>
      </c>
      <c r="G497" s="60" t="n">
        <f aca="false">E497*Assumptions!$B$5</f>
        <v>1.67265447449106</v>
      </c>
      <c r="H497" s="60" t="n">
        <f aca="false">F497*Assumptions!$B$5</f>
        <v>2.17445081683838</v>
      </c>
    </row>
    <row r="498" customFormat="false" ht="15" hidden="false" customHeight="true" outlineLevel="0" collapsed="false">
      <c r="A498" s="26" t="s">
        <v>383</v>
      </c>
      <c r="B498" s="57" t="n">
        <v>0.2</v>
      </c>
      <c r="C498" s="57" t="n">
        <f aca="false">B498*1.3</f>
        <v>0.26</v>
      </c>
      <c r="D498" s="58" t="n">
        <f aca="false">'Product Costs'!H48</f>
        <v>0.068833517468768</v>
      </c>
      <c r="E498" s="59" t="n">
        <f aca="false">B498*D498</f>
        <v>0.0137667034937536</v>
      </c>
      <c r="F498" s="59" t="n">
        <f aca="false">C498*D498</f>
        <v>0.0178967145418797</v>
      </c>
      <c r="G498" s="60" t="n">
        <f aca="false">E498*Assumptions!$B$5</f>
        <v>1.85850497165674</v>
      </c>
      <c r="H498" s="60" t="n">
        <f aca="false">F498*Assumptions!$B$5</f>
        <v>2.41605646315376</v>
      </c>
    </row>
    <row r="499" customFormat="false" ht="15" hidden="false" customHeight="true" outlineLevel="0" collapsed="false">
      <c r="A499" s="26" t="s">
        <v>384</v>
      </c>
      <c r="B499" s="57" t="n">
        <v>0.3</v>
      </c>
      <c r="C499" s="57" t="n">
        <f aca="false">B499*1.3</f>
        <v>0.39</v>
      </c>
      <c r="D499" s="58" t="n">
        <f aca="false">'Product Costs'!H66</f>
        <v>0.0183556046583381</v>
      </c>
      <c r="E499" s="59" t="n">
        <f aca="false">B499*D499</f>
        <v>0.00550668139750144</v>
      </c>
      <c r="F499" s="59" t="n">
        <f aca="false">C499*D499</f>
        <v>0.00715868581675188</v>
      </c>
      <c r="G499" s="60" t="n">
        <f aca="false">E499*Assumptions!$B$5</f>
        <v>0.743401988662695</v>
      </c>
      <c r="H499" s="60" t="n">
        <f aca="false">F499*Assumptions!$B$5</f>
        <v>0.966422585261503</v>
      </c>
    </row>
    <row r="500" customFormat="false" ht="15" hidden="false" customHeight="true" outlineLevel="0" collapsed="false">
      <c r="A500" s="26" t="s">
        <v>395</v>
      </c>
      <c r="B500" s="57" t="n">
        <v>2.1</v>
      </c>
      <c r="C500" s="57" t="n">
        <f aca="false">B500*1.3</f>
        <v>2.73</v>
      </c>
      <c r="D500" s="58" t="n">
        <f aca="false">'Product Costs'!H21</f>
        <v>0.41403619530086</v>
      </c>
      <c r="E500" s="59" t="n">
        <f aca="false">B500*D500</f>
        <v>0.869476010131807</v>
      </c>
      <c r="F500" s="59" t="n">
        <f aca="false">C500*D500</f>
        <v>1.13031881317135</v>
      </c>
      <c r="G500" s="60" t="n">
        <f aca="false">E500*Assumptions!$B$5</f>
        <v>117.379261367794</v>
      </c>
      <c r="H500" s="60" t="n">
        <f aca="false">F500*Assumptions!$B$5</f>
        <v>152.593039778132</v>
      </c>
    </row>
    <row r="501" customFormat="false" ht="15" hidden="false" customHeight="true" outlineLevel="0" collapsed="false">
      <c r="A501" s="26" t="s">
        <v>396</v>
      </c>
      <c r="B501" s="57" t="n">
        <v>1</v>
      </c>
      <c r="C501" s="57" t="n">
        <f aca="false">B501*1.3</f>
        <v>1.3</v>
      </c>
      <c r="D501" s="58" t="n">
        <f aca="false">'Product Costs'!H23</f>
        <v>0.337284235596963</v>
      </c>
      <c r="E501" s="59" t="n">
        <f aca="false">B501*D501</f>
        <v>0.337284235596963</v>
      </c>
      <c r="F501" s="59" t="n">
        <f aca="false">C501*D501</f>
        <v>0.438469506276052</v>
      </c>
      <c r="G501" s="60" t="n">
        <f aca="false">E501*Assumptions!$B$5</f>
        <v>45.5333718055901</v>
      </c>
      <c r="H501" s="60" t="n">
        <f aca="false">F501*Assumptions!$B$5</f>
        <v>59.1933833472671</v>
      </c>
    </row>
    <row r="502" customFormat="false" ht="15" hidden="false" customHeight="true" outlineLevel="0" collapsed="false">
      <c r="A502" s="26" t="s">
        <v>397</v>
      </c>
      <c r="B502" s="57" t="n">
        <v>1</v>
      </c>
      <c r="C502" s="57" t="n">
        <f aca="false">B502*1.3</f>
        <v>1.3</v>
      </c>
      <c r="D502" s="58" t="n">
        <f aca="false">'Product Costs'!H33</f>
        <v>2.25273329897786</v>
      </c>
      <c r="E502" s="59" t="n">
        <f aca="false">B502*D502</f>
        <v>2.25273329897786</v>
      </c>
      <c r="F502" s="59" t="n">
        <f aca="false">C502*D502</f>
        <v>2.92855328867122</v>
      </c>
      <c r="G502" s="60" t="n">
        <f aca="false">E502*Assumptions!$B$5</f>
        <v>304.118995362012</v>
      </c>
      <c r="H502" s="60" t="n">
        <f aca="false">F502*Assumptions!$B$5</f>
        <v>395.354693970615</v>
      </c>
    </row>
    <row r="503" customFormat="false" ht="15" hidden="false" customHeight="true" outlineLevel="0" collapsed="false">
      <c r="A503" s="26" t="s">
        <v>398</v>
      </c>
      <c r="B503" s="57" t="n">
        <v>1</v>
      </c>
      <c r="C503" s="57" t="n">
        <f aca="false">B503*1.3</f>
        <v>1.3</v>
      </c>
      <c r="D503" s="58" t="n">
        <f aca="false">'Product Costs'!H6</f>
        <v>0.165365807732776</v>
      </c>
      <c r="E503" s="59" t="n">
        <f aca="false">B503*D503</f>
        <v>0.165365807732776</v>
      </c>
      <c r="F503" s="59" t="n">
        <f aca="false">C503*D503</f>
        <v>0.214975550052609</v>
      </c>
      <c r="G503" s="60" t="n">
        <f aca="false">E503*Assumptions!$B$5</f>
        <v>22.3243840439248</v>
      </c>
      <c r="H503" s="60" t="n">
        <f aca="false">F503*Assumptions!$B$5</f>
        <v>29.0216992571022</v>
      </c>
    </row>
    <row r="504" customFormat="false" ht="15" hidden="false" customHeight="true" outlineLevel="0" collapsed="false">
      <c r="A504" s="26" t="s">
        <v>399</v>
      </c>
      <c r="B504" s="57" t="n">
        <v>1</v>
      </c>
      <c r="C504" s="57" t="n">
        <f aca="false">B504*1.3</f>
        <v>1.3</v>
      </c>
      <c r="D504" s="58" t="n">
        <f aca="false">'Product Costs'!H71</f>
        <v>0.724563341776506</v>
      </c>
      <c r="E504" s="59" t="n">
        <f aca="false">B504*D504</f>
        <v>0.724563341776506</v>
      </c>
      <c r="F504" s="59" t="n">
        <f aca="false">C504*D504</f>
        <v>0.941932344309457</v>
      </c>
      <c r="G504" s="60" t="n">
        <f aca="false">E504*Assumptions!$B$5</f>
        <v>97.8160511398283</v>
      </c>
      <c r="H504" s="60" t="n">
        <f aca="false">F504*Assumptions!$B$5</f>
        <v>127.160866481777</v>
      </c>
    </row>
    <row r="505" customFormat="false" ht="15" hidden="false" customHeight="true" outlineLevel="0" collapsed="false">
      <c r="A505" s="26" t="s">
        <v>400</v>
      </c>
      <c r="B505" s="57" t="n">
        <v>1</v>
      </c>
      <c r="C505" s="57" t="n">
        <f aca="false">B505*1.3</f>
        <v>1.3</v>
      </c>
      <c r="D505" s="58" t="n">
        <f aca="false">'Product Costs'!H32</f>
        <v>0.349304417005689</v>
      </c>
      <c r="E505" s="59" t="n">
        <f aca="false">B505*D505</f>
        <v>0.349304417005689</v>
      </c>
      <c r="F505" s="59" t="n">
        <f aca="false">C505*D505</f>
        <v>0.454095742107395</v>
      </c>
      <c r="G505" s="60" t="n">
        <f aca="false">E505*Assumptions!$B$5</f>
        <v>47.156096295768</v>
      </c>
      <c r="H505" s="60" t="n">
        <f aca="false">F505*Assumptions!$B$5</f>
        <v>61.3029251844983</v>
      </c>
    </row>
    <row r="506" customFormat="false" ht="15" hidden="false" customHeight="true" outlineLevel="0" collapsed="false">
      <c r="A506" s="26" t="s">
        <v>415</v>
      </c>
      <c r="B506" s="57" t="n">
        <v>1</v>
      </c>
      <c r="C506" s="57" t="n">
        <f aca="false">B506*1.3</f>
        <v>1.3</v>
      </c>
      <c r="D506" s="58" t="n">
        <f aca="false">'Product Costs'!H31</f>
        <v>1.32160353540035</v>
      </c>
      <c r="E506" s="59" t="n">
        <f aca="false">B506*D506</f>
        <v>1.32160353540035</v>
      </c>
      <c r="F506" s="59" t="n">
        <f aca="false">C506*D506</f>
        <v>1.71808459602045</v>
      </c>
      <c r="G506" s="60" t="n">
        <f aca="false">E506*Assumptions!$B$5</f>
        <v>178.416477279047</v>
      </c>
      <c r="H506" s="60" t="n">
        <f aca="false">F506*Assumptions!$B$5</f>
        <v>231.941420462761</v>
      </c>
    </row>
    <row r="507" customFormat="false" ht="15" hidden="false" customHeight="true" outlineLevel="0" collapsed="false">
      <c r="A507" s="26" t="s">
        <v>401</v>
      </c>
      <c r="B507" s="57" t="n">
        <v>1</v>
      </c>
      <c r="C507" s="57" t="n">
        <f aca="false">B507*1.3</f>
        <v>1.3</v>
      </c>
      <c r="D507" s="58" t="n">
        <f aca="false">'Product Costs'!H11</f>
        <v>0.159693760527542</v>
      </c>
      <c r="E507" s="59" t="n">
        <f aca="false">B507*D507</f>
        <v>0.159693760527542</v>
      </c>
      <c r="F507" s="59" t="n">
        <f aca="false">C507*D507</f>
        <v>0.207601888685804</v>
      </c>
      <c r="G507" s="60" t="n">
        <f aca="false">E507*Assumptions!$B$5</f>
        <v>21.5586576712181</v>
      </c>
      <c r="H507" s="60" t="n">
        <f aca="false">F507*Assumptions!$B$5</f>
        <v>28.0262549725836</v>
      </c>
    </row>
    <row r="508" customFormat="false" ht="15" hidden="false" customHeight="true" outlineLevel="0" collapsed="false">
      <c r="A508" s="26" t="s">
        <v>402</v>
      </c>
      <c r="B508" s="57" t="n">
        <v>0.2</v>
      </c>
      <c r="C508" s="57" t="n">
        <f aca="false">B508*1.3</f>
        <v>0.26</v>
      </c>
      <c r="D508" s="58" t="n">
        <f aca="false">'Product Costs'!H53</f>
        <v>0.137667034937536</v>
      </c>
      <c r="E508" s="59" t="n">
        <f aca="false">B508*D508</f>
        <v>0.0275334069875072</v>
      </c>
      <c r="F508" s="59" t="n">
        <f aca="false">C508*D508</f>
        <v>0.0357934290837594</v>
      </c>
      <c r="G508" s="60" t="n">
        <f aca="false">E508*Assumptions!$B$5</f>
        <v>3.71700994331347</v>
      </c>
      <c r="H508" s="60" t="n">
        <f aca="false">F508*Assumptions!$B$5</f>
        <v>4.83211292630752</v>
      </c>
    </row>
    <row r="509" customFormat="false" ht="15" hidden="false" customHeight="true" outlineLevel="0" collapsed="false">
      <c r="A509" s="26" t="s">
        <v>403</v>
      </c>
      <c r="B509" s="57" t="n">
        <v>1.5</v>
      </c>
      <c r="C509" s="57" t="n">
        <f aca="false">B509*1.3</f>
        <v>1.95</v>
      </c>
      <c r="D509" s="58" t="n">
        <f aca="false">'Product Costs'!H57</f>
        <v>0.0504779128104299</v>
      </c>
      <c r="E509" s="59" t="n">
        <f aca="false">B509*D509</f>
        <v>0.0757168692156448</v>
      </c>
      <c r="F509" s="59" t="n">
        <f aca="false">C509*D509</f>
        <v>0.0984319299803383</v>
      </c>
      <c r="G509" s="60" t="n">
        <f aca="false">E509*Assumptions!$B$5</f>
        <v>10.2217773441121</v>
      </c>
      <c r="H509" s="60" t="n">
        <f aca="false">F509*Assumptions!$B$5</f>
        <v>13.2883105473457</v>
      </c>
    </row>
    <row r="510" customFormat="false" ht="15" hidden="false" customHeight="true" outlineLevel="0" collapsed="false">
      <c r="A510" s="26" t="s">
        <v>404</v>
      </c>
      <c r="B510" s="57" t="n">
        <v>1.5</v>
      </c>
      <c r="C510" s="57" t="n">
        <f aca="false">B510*1.3</f>
        <v>1.95</v>
      </c>
      <c r="D510" s="58" t="n">
        <f aca="false">'Product Costs'!H58</f>
        <v>0.0183556046583381</v>
      </c>
      <c r="E510" s="59" t="n">
        <f aca="false">B510*D510</f>
        <v>0.0275334069875072</v>
      </c>
      <c r="F510" s="59" t="n">
        <f aca="false">C510*D510</f>
        <v>0.0357934290837594</v>
      </c>
      <c r="G510" s="60" t="n">
        <f aca="false">E510*Assumptions!$B$5</f>
        <v>3.71700994331347</v>
      </c>
      <c r="H510" s="60" t="n">
        <f aca="false">F510*Assumptions!$B$5</f>
        <v>4.83211292630752</v>
      </c>
    </row>
    <row r="511" customFormat="false" ht="15" hidden="false" customHeight="true" outlineLevel="0" collapsed="false">
      <c r="A511" s="26" t="s">
        <v>405</v>
      </c>
      <c r="B511" s="57" t="n">
        <v>1.3</v>
      </c>
      <c r="C511" s="57" t="n">
        <f aca="false">B511*1.3</f>
        <v>1.69</v>
      </c>
      <c r="D511" s="58" t="n">
        <f aca="false">'Product Costs'!H55</f>
        <v>0.0642446163041835</v>
      </c>
      <c r="E511" s="59" t="n">
        <f aca="false">B511*D511</f>
        <v>0.0835180011954385</v>
      </c>
      <c r="F511" s="59" t="n">
        <f aca="false">C511*D511</f>
        <v>0.10857340155407</v>
      </c>
      <c r="G511" s="60" t="n">
        <f aca="false">E511*Assumptions!$B$5</f>
        <v>11.2749301613842</v>
      </c>
      <c r="H511" s="60" t="n">
        <f aca="false">F511*Assumptions!$B$5</f>
        <v>14.6574092097995</v>
      </c>
    </row>
    <row r="512" customFormat="false" ht="15" hidden="false" customHeight="true" outlineLevel="0" collapsed="false">
      <c r="A512" s="26" t="s">
        <v>406</v>
      </c>
      <c r="B512" s="57" t="n">
        <v>1</v>
      </c>
      <c r="C512" s="57" t="n">
        <f aca="false">B512*1.3</f>
        <v>1.3</v>
      </c>
      <c r="D512" s="58" t="n">
        <f aca="false">'Product Costs'!H54</f>
        <v>0.0573612645573067</v>
      </c>
      <c r="E512" s="59" t="n">
        <f aca="false">B512*D512</f>
        <v>0.0573612645573067</v>
      </c>
      <c r="F512" s="59" t="n">
        <f aca="false">C512*D512</f>
        <v>0.0745696439244987</v>
      </c>
      <c r="G512" s="60" t="n">
        <f aca="false">E512*Assumptions!$B$5</f>
        <v>7.7437707152364</v>
      </c>
      <c r="H512" s="60" t="n">
        <f aca="false">F512*Assumptions!$B$5</f>
        <v>10.0669019298073</v>
      </c>
    </row>
    <row r="513" customFormat="false" ht="15" hidden="false" customHeight="true" outlineLevel="0" collapsed="false">
      <c r="A513" s="26" t="s">
        <v>407</v>
      </c>
      <c r="B513" s="57" t="n">
        <v>1</v>
      </c>
      <c r="C513" s="57" t="n">
        <f aca="false">B513*1.3</f>
        <v>1.3</v>
      </c>
      <c r="D513" s="58" t="n">
        <f aca="false">'Product Costs'!H59</f>
        <v>0.0103250276203152</v>
      </c>
      <c r="E513" s="59" t="n">
        <f aca="false">B513*D513</f>
        <v>0.0103250276203152</v>
      </c>
      <c r="F513" s="59" t="n">
        <f aca="false">C513*D513</f>
        <v>0.0134225359064098</v>
      </c>
      <c r="G513" s="60" t="n">
        <f aca="false">E513*Assumptions!$B$5</f>
        <v>1.39387872874255</v>
      </c>
      <c r="H513" s="60" t="n">
        <f aca="false">F513*Assumptions!$B$5</f>
        <v>1.81204234736532</v>
      </c>
    </row>
    <row r="514" customFormat="false" ht="15" hidden="false" customHeight="true" outlineLevel="0" collapsed="false">
      <c r="A514" s="26" t="s">
        <v>408</v>
      </c>
      <c r="B514" s="57" t="n">
        <v>1</v>
      </c>
      <c r="C514" s="57" t="n">
        <f aca="false">B514*1.3</f>
        <v>1.3</v>
      </c>
      <c r="D514" s="58" t="n">
        <f aca="false">'Product Costs'!H60</f>
        <v>0.0160611540760459</v>
      </c>
      <c r="E514" s="59" t="n">
        <f aca="false">B514*D514</f>
        <v>0.0160611540760459</v>
      </c>
      <c r="F514" s="59" t="n">
        <f aca="false">C514*D514</f>
        <v>0.0208795002988596</v>
      </c>
      <c r="G514" s="60" t="n">
        <f aca="false">E514*Assumptions!$B$5</f>
        <v>2.16825580026619</v>
      </c>
      <c r="H514" s="60" t="n">
        <f aca="false">F514*Assumptions!$B$5</f>
        <v>2.81873254034605</v>
      </c>
    </row>
    <row r="515" customFormat="false" ht="15" hidden="false" customHeight="true" outlineLevel="0" collapsed="false">
      <c r="A515" s="26" t="s">
        <v>409</v>
      </c>
      <c r="B515" s="57" t="n">
        <v>0.3</v>
      </c>
      <c r="C515" s="57" t="n">
        <f aca="false">B515*1.3</f>
        <v>0.39</v>
      </c>
      <c r="D515" s="58" t="n">
        <f aca="false">'Product Costs'!H67</f>
        <v>0.0321223081520917</v>
      </c>
      <c r="E515" s="59" t="n">
        <f aca="false">B515*D515</f>
        <v>0.00963669244562752</v>
      </c>
      <c r="F515" s="59" t="n">
        <f aca="false">C515*D515</f>
        <v>0.0125277001793158</v>
      </c>
      <c r="G515" s="60" t="n">
        <f aca="false">E515*Assumptions!$B$5</f>
        <v>1.30095348015972</v>
      </c>
      <c r="H515" s="60" t="n">
        <f aca="false">F515*Assumptions!$B$5</f>
        <v>1.69123952420763</v>
      </c>
    </row>
    <row r="516" customFormat="false" ht="15" hidden="false" customHeight="true" outlineLevel="0" collapsed="false">
      <c r="A516" s="26" t="s">
        <v>410</v>
      </c>
      <c r="B516" s="57" t="n">
        <v>0.5</v>
      </c>
      <c r="C516" s="57" t="n">
        <f aca="false">B516*1.3</f>
        <v>0.65</v>
      </c>
      <c r="D516" s="58" t="n">
        <f aca="false">'Product Costs'!H12</f>
        <v>0.137667034937536</v>
      </c>
      <c r="E516" s="59" t="n">
        <f aca="false">B516*D516</f>
        <v>0.068833517468768</v>
      </c>
      <c r="F516" s="59" t="n">
        <f aca="false">C516*D516</f>
        <v>0.0894835727093985</v>
      </c>
      <c r="G516" s="60" t="n">
        <f aca="false">E516*Assumptions!$B$5</f>
        <v>9.29252485828368</v>
      </c>
      <c r="H516" s="60" t="n">
        <f aca="false">F516*Assumptions!$B$5</f>
        <v>12.0802823157688</v>
      </c>
    </row>
    <row r="517" customFormat="false" ht="15" hidden="false" customHeight="true" outlineLevel="0" collapsed="false">
      <c r="A517" s="26" t="s">
        <v>421</v>
      </c>
      <c r="B517" s="57" t="n">
        <v>1</v>
      </c>
      <c r="C517" s="57" t="n">
        <f aca="false">B517*1.3</f>
        <v>1.3</v>
      </c>
      <c r="D517" s="58" t="n">
        <f aca="false">'Product Costs'!H7</f>
        <v>0.491667981919772</v>
      </c>
      <c r="E517" s="59" t="n">
        <f aca="false">B517*D517</f>
        <v>0.491667981919772</v>
      </c>
      <c r="F517" s="59" t="n">
        <f aca="false">C517*D517</f>
        <v>0.639168376495703</v>
      </c>
      <c r="G517" s="60" t="n">
        <f aca="false">E517*Assumptions!$B$5</f>
        <v>66.3751775591692</v>
      </c>
      <c r="H517" s="60" t="n">
        <f aca="false">F517*Assumptions!$B$5</f>
        <v>86.2877308269199</v>
      </c>
    </row>
    <row r="518" customFormat="false" ht="15" hidden="false" customHeight="true" outlineLevel="0" collapsed="false">
      <c r="A518" s="26" t="s">
        <v>422</v>
      </c>
      <c r="B518" s="57" t="n">
        <v>1</v>
      </c>
      <c r="C518" s="57" t="n">
        <f aca="false">B518*1.3</f>
        <v>1.3</v>
      </c>
      <c r="D518" s="58" t="n">
        <f aca="false">'Product Costs'!H8</f>
        <v>0.491667981919772</v>
      </c>
      <c r="E518" s="59" t="n">
        <f aca="false">B518*D518</f>
        <v>0.491667981919772</v>
      </c>
      <c r="F518" s="59" t="n">
        <f aca="false">C518*D518</f>
        <v>0.639168376495703</v>
      </c>
      <c r="G518" s="60" t="n">
        <f aca="false">E518*Assumptions!$B$5</f>
        <v>66.3751775591692</v>
      </c>
      <c r="H518" s="60" t="n">
        <f aca="false">F518*Assumptions!$B$5</f>
        <v>86.2877308269199</v>
      </c>
    </row>
    <row r="519" customFormat="false" ht="15" hidden="false" customHeight="true" outlineLevel="0" collapsed="false">
      <c r="A519" s="26" t="s">
        <v>423</v>
      </c>
      <c r="B519" s="57" t="n">
        <v>1</v>
      </c>
      <c r="C519" s="57" t="n">
        <f aca="false">B519*1.3</f>
        <v>1.3</v>
      </c>
      <c r="D519" s="58" t="n">
        <f aca="false">'Product Costs'!H25</f>
        <v>0.535829776702985</v>
      </c>
      <c r="E519" s="59" t="n">
        <f aca="false">B519*D519</f>
        <v>0.535829776702985</v>
      </c>
      <c r="F519" s="59" t="n">
        <f aca="false">C519*D519</f>
        <v>0.69657870971388</v>
      </c>
      <c r="G519" s="60" t="n">
        <f aca="false">E519*Assumptions!$B$5</f>
        <v>72.3370198549029</v>
      </c>
      <c r="H519" s="60" t="n">
        <f aca="false">F519*Assumptions!$B$5</f>
        <v>94.0381258113738</v>
      </c>
    </row>
    <row r="520" customFormat="false" ht="15" hidden="false" customHeight="true" outlineLevel="0" collapsed="false">
      <c r="A520" s="26" t="s">
        <v>424</v>
      </c>
      <c r="B520" s="57" t="n">
        <v>1</v>
      </c>
      <c r="C520" s="57" t="n">
        <f aca="false">B520*1.3</f>
        <v>1.3</v>
      </c>
      <c r="D520" s="58" t="n">
        <f aca="false">'Product Costs'!H35</f>
        <v>9.63669244562752</v>
      </c>
      <c r="E520" s="59" t="n">
        <f aca="false">B520*D520</f>
        <v>9.63669244562752</v>
      </c>
      <c r="F520" s="59" t="n">
        <f aca="false">C520*D520</f>
        <v>12.5277001793158</v>
      </c>
      <c r="G520" s="60" t="n">
        <f aca="false">E520*Assumptions!$B$5</f>
        <v>1300.95348015972</v>
      </c>
      <c r="H520" s="60" t="n">
        <f aca="false">F520*Assumptions!$B$5</f>
        <v>1691.23952420763</v>
      </c>
    </row>
    <row r="521" customFormat="false" ht="15" hidden="false" customHeight="true" outlineLevel="0" collapsed="false">
      <c r="A521" s="26" t="s">
        <v>425</v>
      </c>
      <c r="B521" s="57" t="n">
        <v>0.1</v>
      </c>
      <c r="C521" s="57" t="n">
        <f aca="false">B521*1.3</f>
        <v>0.13</v>
      </c>
      <c r="D521" s="58" t="n">
        <f aca="false">'Product Costs'!H70</f>
        <v>1.5418707913004</v>
      </c>
      <c r="E521" s="59" t="n">
        <f aca="false">B521*D521</f>
        <v>0.15418707913004</v>
      </c>
      <c r="F521" s="59" t="n">
        <f aca="false">C521*D521</f>
        <v>0.200443202869053</v>
      </c>
      <c r="G521" s="60" t="n">
        <f aca="false">E521*Assumptions!$B$5</f>
        <v>20.8152556825555</v>
      </c>
      <c r="H521" s="60" t="n">
        <f aca="false">F521*Assumptions!$B$5</f>
        <v>27.0598323873221</v>
      </c>
    </row>
    <row r="522" customFormat="false" ht="15" hidden="false" customHeight="true" outlineLevel="0" collapsed="false">
      <c r="A522" s="26" t="s">
        <v>426</v>
      </c>
      <c r="B522" s="57" t="n">
        <v>1</v>
      </c>
      <c r="C522" s="57" t="n">
        <f aca="false">B522*1.3</f>
        <v>1.3</v>
      </c>
      <c r="D522" s="58" t="n">
        <f aca="false">'Product Costs'!H37</f>
        <v>0.539654776955141</v>
      </c>
      <c r="E522" s="59" t="n">
        <f aca="false">B522*D522</f>
        <v>0.539654776955141</v>
      </c>
      <c r="F522" s="59" t="n">
        <f aca="false">C522*D522</f>
        <v>0.701551210041684</v>
      </c>
      <c r="G522" s="60" t="n">
        <f aca="false">E522*Assumptions!$B$5</f>
        <v>72.8533948889441</v>
      </c>
      <c r="H522" s="60" t="n">
        <f aca="false">F522*Assumptions!$B$5</f>
        <v>94.7094133556273</v>
      </c>
    </row>
    <row r="523" customFormat="false" ht="15" hidden="false" customHeight="true" outlineLevel="0" collapsed="false">
      <c r="A523" s="26" t="s">
        <v>427</v>
      </c>
      <c r="B523" s="57" t="n">
        <v>1</v>
      </c>
      <c r="C523" s="57" t="n">
        <f aca="false">B523*1.3</f>
        <v>1.3</v>
      </c>
      <c r="D523" s="58" t="n">
        <f aca="false">'Product Costs'!H30</f>
        <v>0.289825336710602</v>
      </c>
      <c r="E523" s="59" t="n">
        <f aca="false">B523*D523</f>
        <v>0.289825336710602</v>
      </c>
      <c r="F523" s="59" t="n">
        <f aca="false">C523*D523</f>
        <v>0.376772937723783</v>
      </c>
      <c r="G523" s="60" t="n">
        <f aca="false">E523*Assumptions!$B$5</f>
        <v>39.1264204559313</v>
      </c>
      <c r="H523" s="60" t="n">
        <f aca="false">F523*Assumptions!$B$5</f>
        <v>50.8643465927107</v>
      </c>
    </row>
    <row r="524" customFormat="false" ht="15" hidden="false" customHeight="true" outlineLevel="0" collapsed="false">
      <c r="A524" s="26" t="s">
        <v>411</v>
      </c>
      <c r="B524" s="57" t="n">
        <v>1.4</v>
      </c>
      <c r="C524" s="57" t="n">
        <f aca="false">B524*1.3</f>
        <v>1.82</v>
      </c>
      <c r="D524" s="58" t="n">
        <f aca="false">'Product Costs'!H42</f>
        <v>0.124024355799582</v>
      </c>
      <c r="E524" s="59" t="n">
        <f aca="false">B524*D524</f>
        <v>0.173634098119415</v>
      </c>
      <c r="F524" s="59" t="n">
        <f aca="false">C524*D524</f>
        <v>0.225724327555239</v>
      </c>
      <c r="G524" s="60" t="n">
        <f aca="false">E524*Assumptions!$B$5</f>
        <v>23.440603246121</v>
      </c>
      <c r="H524" s="60" t="n">
        <f aca="false">F524*Assumptions!$B$5</f>
        <v>30.4727842199573</v>
      </c>
    </row>
    <row r="525" customFormat="false" ht="15" hidden="false" customHeight="true" outlineLevel="0" collapsed="false">
      <c r="A525" s="26" t="s">
        <v>433</v>
      </c>
      <c r="B525" s="57" t="n">
        <v>1</v>
      </c>
      <c r="C525" s="57" t="n">
        <f aca="false">B525*1.3</f>
        <v>1.3</v>
      </c>
      <c r="D525" s="58" t="n">
        <f aca="false">'Product Costs'!H56</f>
        <v>0.0642446163041835</v>
      </c>
      <c r="E525" s="59" t="n">
        <f aca="false">B525*D525</f>
        <v>0.0642446163041835</v>
      </c>
      <c r="F525" s="59" t="n">
        <f aca="false">C525*D525</f>
        <v>0.0835180011954385</v>
      </c>
      <c r="G525" s="60" t="n">
        <f aca="false">E525*Assumptions!$B$5</f>
        <v>8.67302320106477</v>
      </c>
      <c r="H525" s="60" t="n">
        <f aca="false">F525*Assumptions!$B$5</f>
        <v>11.2749301613842</v>
      </c>
    </row>
    <row r="526" customFormat="false" ht="15" hidden="false" customHeight="true" outlineLevel="0" collapsed="false">
      <c r="A526" s="26" t="s">
        <v>434</v>
      </c>
      <c r="B526" s="57" t="n">
        <v>0.4</v>
      </c>
      <c r="C526" s="57" t="n">
        <f aca="false">B526*1.3</f>
        <v>0.52</v>
      </c>
      <c r="D526" s="58" t="n">
        <f aca="false">'Product Costs'!H51</f>
        <v>0.0275334069875072</v>
      </c>
      <c r="E526" s="59" t="n">
        <f aca="false">B526*D526</f>
        <v>0.0110133627950029</v>
      </c>
      <c r="F526" s="59" t="n">
        <f aca="false">C526*D526</f>
        <v>0.0143173716335038</v>
      </c>
      <c r="G526" s="60" t="n">
        <f aca="false">E526*Assumptions!$B$5</f>
        <v>1.48680397732539</v>
      </c>
      <c r="H526" s="60" t="n">
        <f aca="false">F526*Assumptions!$B$5</f>
        <v>1.93284517052301</v>
      </c>
    </row>
    <row r="527" customFormat="false" ht="15" hidden="false" customHeight="true" outlineLevel="0" collapsed="false">
      <c r="A527" s="26" t="s">
        <v>486</v>
      </c>
      <c r="B527" s="57" t="n">
        <v>1</v>
      </c>
      <c r="C527" s="57" t="n">
        <f aca="false">B527*1.3</f>
        <v>1.3</v>
      </c>
      <c r="D527" s="58" t="n">
        <f aca="false">'Product Costs'!H26</f>
        <v>0.786668771071635</v>
      </c>
      <c r="E527" s="59" t="n">
        <f aca="false">B527*D527</f>
        <v>0.786668771071635</v>
      </c>
      <c r="F527" s="59" t="n">
        <f aca="false">C527*D527</f>
        <v>1.02266940239313</v>
      </c>
      <c r="G527" s="60" t="n">
        <f aca="false">E527*Assumptions!$B$5</f>
        <v>106.200284094671</v>
      </c>
      <c r="H527" s="60" t="n">
        <f aca="false">F527*Assumptions!$B$5</f>
        <v>138.060369323072</v>
      </c>
    </row>
    <row r="528" customFormat="false" ht="15" hidden="false" customHeight="true" outlineLevel="0" collapsed="false">
      <c r="A528" s="61" t="s">
        <v>386</v>
      </c>
      <c r="B528" s="62"/>
      <c r="C528" s="62"/>
      <c r="D528" s="62"/>
      <c r="E528" s="63" t="n">
        <f aca="false">SUM(E488:E527)</f>
        <v>23.1434707212819</v>
      </c>
      <c r="F528" s="63" t="n">
        <f aca="false">SUM(F488:F527)</f>
        <v>30.0865119376665</v>
      </c>
      <c r="G528" s="64" t="n">
        <f aca="false">E528*Assumptions!$B$5</f>
        <v>3124.36854737306</v>
      </c>
      <c r="H528" s="64" t="n">
        <f aca="false">F528*Assumptions!$B$5</f>
        <v>4061.67911158498</v>
      </c>
    </row>
    <row r="529" customFormat="false" ht="15" hidden="false" customHeight="true" outlineLevel="0" collapsed="false">
      <c r="A529" s="26" t="s">
        <v>490</v>
      </c>
      <c r="E529" s="65" t="n">
        <f aca="false">E528*Assumptions!$B$9</f>
        <v>3.47152060819229</v>
      </c>
      <c r="F529" s="65" t="n">
        <f aca="false">F528*Assumptions!$B$9</f>
        <v>4.51297679064998</v>
      </c>
      <c r="G529" s="28" t="n">
        <f aca="false">E529*Assumptions!$B$5</f>
        <v>468.655282105959</v>
      </c>
      <c r="H529" s="28" t="n">
        <f aca="false">F529*Assumptions!$B$5</f>
        <v>609.251866737747</v>
      </c>
    </row>
    <row r="530" customFormat="false" ht="15" hidden="false" customHeight="true" outlineLevel="0" collapsed="false">
      <c r="A530" s="61" t="s">
        <v>388</v>
      </c>
      <c r="B530" s="62"/>
      <c r="C530" s="62"/>
      <c r="D530" s="62"/>
      <c r="E530" s="63" t="n">
        <f aca="false">E528+E529</f>
        <v>26.6149913294742</v>
      </c>
      <c r="F530" s="63" t="n">
        <f aca="false">F528+F529</f>
        <v>34.5994887283165</v>
      </c>
      <c r="G530" s="64" t="n">
        <f aca="false">E530*Assumptions!$B$5</f>
        <v>3593.02382947902</v>
      </c>
      <c r="H530" s="64" t="n">
        <f aca="false">F530*Assumptions!$B$5</f>
        <v>4670.93097832272</v>
      </c>
    </row>
    <row r="531" customFormat="false" ht="15" hidden="false" customHeight="true" outlineLevel="0" collapsed="false">
      <c r="A531" s="75" t="s">
        <v>491</v>
      </c>
      <c r="G531" s="76" t="n">
        <f aca="false">9*G484+3*G530</f>
        <v>17735.858738472</v>
      </c>
      <c r="H531" s="76" t="n">
        <f aca="false">9*H484+3*H530</f>
        <v>23056.6163600136</v>
      </c>
    </row>
    <row r="532" customFormat="false" ht="15" hidden="false" customHeight="true" outlineLevel="0" collapsed="false">
      <c r="A532" s="75" t="s">
        <v>492</v>
      </c>
      <c r="G532" s="77" t="n">
        <f aca="false">G531/12</f>
        <v>1477.988228206</v>
      </c>
      <c r="H532" s="77" t="n">
        <f aca="false">H531/12</f>
        <v>1921.3846966678</v>
      </c>
    </row>
    <row r="533" customFormat="false" ht="15" hidden="false" customHeight="true" outlineLevel="0" collapsed="false">
      <c r="A533" s="66" t="s">
        <v>493</v>
      </c>
      <c r="B533" s="67"/>
      <c r="C533" s="67"/>
      <c r="D533" s="67"/>
      <c r="E533" s="67"/>
      <c r="F533" s="67"/>
      <c r="G533" s="69" t="n">
        <v>11700</v>
      </c>
      <c r="H533" s="69" t="n">
        <v>15100</v>
      </c>
    </row>
    <row r="534" customFormat="false" ht="15" hidden="false" customHeight="true" outlineLevel="0" collapsed="false">
      <c r="A534" s="61" t="s">
        <v>494</v>
      </c>
      <c r="B534" s="62"/>
      <c r="C534" s="62"/>
      <c r="D534" s="62"/>
      <c r="E534" s="62"/>
      <c r="F534" s="62"/>
      <c r="G534" s="64" t="n">
        <f aca="false">G533-G532</f>
        <v>10222.011771794</v>
      </c>
      <c r="H534" s="64" t="n">
        <f aca="false">H533-H532</f>
        <v>13178.6153033322</v>
      </c>
    </row>
    <row r="535" customFormat="false" ht="15" hidden="false" customHeight="true" outlineLevel="0" collapsed="false">
      <c r="A535" s="61" t="s">
        <v>495</v>
      </c>
      <c r="B535" s="62"/>
      <c r="C535" s="62"/>
      <c r="D535" s="62"/>
      <c r="E535" s="62"/>
      <c r="F535" s="62"/>
      <c r="G535" s="70" t="n">
        <f aca="false">G534/G533</f>
        <v>0.873676219811453</v>
      </c>
      <c r="H535" s="70" t="n">
        <f aca="false">H534/H533</f>
        <v>0.872755980353126</v>
      </c>
    </row>
    <row r="537" customFormat="false" ht="34.5" hidden="false" customHeight="true" outlineLevel="0" collapsed="false">
      <c r="A537" s="21" t="s">
        <v>496</v>
      </c>
      <c r="B537" s="21"/>
      <c r="C537" s="21"/>
      <c r="D537" s="21"/>
      <c r="E537" s="21"/>
      <c r="F537" s="21"/>
      <c r="G537" s="21"/>
      <c r="H537" s="21"/>
    </row>
  </sheetData>
  <mergeCells count="16">
    <mergeCell ref="B5:H5"/>
    <mergeCell ref="B30:H30"/>
    <mergeCell ref="B72:H72"/>
    <mergeCell ref="B132:H132"/>
    <mergeCell ref="B198:H198"/>
    <mergeCell ref="B264:H264"/>
    <mergeCell ref="B276:H276"/>
    <mergeCell ref="B299:H299"/>
    <mergeCell ref="B352:H352"/>
    <mergeCell ref="A384:H384"/>
    <mergeCell ref="B387:H387"/>
    <mergeCell ref="B417:H417"/>
    <mergeCell ref="B448:H448"/>
    <mergeCell ref="B462:H462"/>
    <mergeCell ref="B486:H486"/>
    <mergeCell ref="A537:H5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2026-06-13T11:34:33Z</dcterms:created>
  <dc:creator>openpyxl</dc:creator>
  <dc:description/>
  <dc:language>en-US</dc:language>
  <cp:lastModifiedBy/>
  <dcterms:modified xsi:type="dcterms:W3CDTF">2026-06-22T16:55:43Z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